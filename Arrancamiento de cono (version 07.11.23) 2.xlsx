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-files\Almacen DepTecnico\"/>
    </mc:Choice>
  </mc:AlternateContent>
  <xr:revisionPtr revIDLastSave="0" documentId="8_{06BF6541-6C38-4829-B9B4-CECFD7B88240}" xr6:coauthVersionLast="47" xr6:coauthVersionMax="47" xr10:uidLastSave="{00000000-0000-0000-0000-000000000000}"/>
  <bookViews>
    <workbookView xWindow="-28920" yWindow="-3765" windowWidth="29040" windowHeight="15990" xr2:uid="{00000000-000D-0000-FFFF-FFFF00000000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" l="1"/>
  <c r="P9" i="3" l="1"/>
  <c r="O9" i="3"/>
  <c r="M9" i="3"/>
  <c r="L9" i="3"/>
  <c r="B10" i="3" l="1"/>
  <c r="B14" i="3" s="1"/>
  <c r="B39" i="3" l="1"/>
  <c r="B11" i="3"/>
  <c r="B12" i="3"/>
  <c r="B13" i="3"/>
  <c r="B15" i="3" l="1"/>
  <c r="B17" i="3" s="1"/>
  <c r="B18" i="3" s="1"/>
  <c r="B20" i="3" l="1"/>
  <c r="B22" i="3" s="1"/>
  <c r="P18" i="3" s="1"/>
  <c r="B19" i="3"/>
  <c r="B16" i="3"/>
  <c r="B21" i="3" l="1"/>
  <c r="B37" i="3"/>
  <c r="M2" i="3" l="1"/>
  <c r="M3" i="3"/>
  <c r="B43" i="3"/>
  <c r="B38" i="3"/>
  <c r="N7" i="3" l="1"/>
  <c r="N8" i="3"/>
  <c r="N9" i="3"/>
  <c r="B40" i="3"/>
  <c r="B44" i="3" s="1"/>
  <c r="B45" i="3" s="1"/>
  <c r="D45" i="3" s="1"/>
  <c r="B46" i="3" l="1"/>
  <c r="D46" i="3" s="1"/>
  <c r="R7" i="3"/>
  <c r="Q7" i="3"/>
  <c r="S7" i="3" s="1"/>
  <c r="Q9" i="3"/>
  <c r="S9" i="3" s="1"/>
  <c r="R9" i="3"/>
  <c r="R8" i="3"/>
  <c r="Q8" i="3"/>
  <c r="S8" i="3" s="1"/>
  <c r="P17" i="3" l="1"/>
  <c r="P16" i="3"/>
  <c r="P15" i="3"/>
</calcChain>
</file>

<file path=xl/sharedStrings.xml><?xml version="1.0" encoding="utf-8"?>
<sst xmlns="http://schemas.openxmlformats.org/spreadsheetml/2006/main" count="106" uniqueCount="78">
  <si>
    <t>Kc</t>
  </si>
  <si>
    <t>lambda</t>
  </si>
  <si>
    <t>Anc/Anc0</t>
  </si>
  <si>
    <t>Mpa</t>
  </si>
  <si>
    <t>mm</t>
  </si>
  <si>
    <t>mm2</t>
  </si>
  <si>
    <t>kN</t>
  </si>
  <si>
    <t>MPa</t>
  </si>
  <si>
    <t>Nb</t>
  </si>
  <si>
    <t>Nbc</t>
  </si>
  <si>
    <t>2UPN120</t>
  </si>
  <si>
    <t>kN/m</t>
  </si>
  <si>
    <t>m</t>
  </si>
  <si>
    <t>kN/m3</t>
  </si>
  <si>
    <t>ud</t>
  </si>
  <si>
    <t>kN·m</t>
  </si>
  <si>
    <t>α</t>
  </si>
  <si>
    <t>(º)</t>
  </si>
  <si>
    <t>rad</t>
  </si>
  <si>
    <t>γM conc</t>
  </si>
  <si>
    <t>γQ Desfav.</t>
  </si>
  <si>
    <t>Anc0 = Area bruta (9*hef^2)</t>
  </si>
  <si>
    <t>Anc = Area neta</t>
  </si>
  <si>
    <t>(*) Valores a introducir</t>
  </si>
  <si>
    <t>fcj hormigón (*)</t>
  </si>
  <si>
    <t>hef = longitud anclaje (*)</t>
  </si>
  <si>
    <t>ca2 (*)</t>
  </si>
  <si>
    <t>ca3 (*)</t>
  </si>
  <si>
    <t>ca4 (*)</t>
  </si>
  <si>
    <t>Nbc Rd ser horm /anclaje (SLS)</t>
  </si>
  <si>
    <t>Nbc Rd horm / anclaje (ULS)</t>
  </si>
  <si>
    <t>Pespecífico horm.</t>
  </si>
  <si>
    <t>kN/m2</t>
  </si>
  <si>
    <t>H lim, profundidad de la presion máxima</t>
  </si>
  <si>
    <t>Fx1, Fuerza horizontal hidrostática</t>
  </si>
  <si>
    <t>h cdg Fx1, altura centro de fuerzas Fx1</t>
  </si>
  <si>
    <t>Fx2, Fuerza horizontal constante</t>
  </si>
  <si>
    <t>h cdg Fx2, altura centro de fuerzas Fx2</t>
  </si>
  <si>
    <t>Fx tot (Fx1+Fx2)</t>
  </si>
  <si>
    <t>h cdg Fx tot, altura centro de fuerzas Fx tot</t>
  </si>
  <si>
    <t>Fx tot batache</t>
  </si>
  <si>
    <t>nº anclajes batache</t>
  </si>
  <si>
    <t>Fx / anclaje</t>
  </si>
  <si>
    <t>γq des, Factor parcial cargas (ULS)</t>
  </si>
  <si>
    <t>Tracción anclaje Nek (SLS)</t>
  </si>
  <si>
    <t>Tracción anclaje Nek (ULS)</t>
  </si>
  <si>
    <t>Fx tot escuadra</t>
  </si>
  <si>
    <t>Resistencia Hormigón en anclajes con tracción Pura (barra a 45º de M1C)</t>
  </si>
  <si>
    <t>H, altura M1C (*)</t>
  </si>
  <si>
    <t>Ancho batache (*)</t>
  </si>
  <si>
    <t>(distribución de carga homogenea entre anclajes) (*)</t>
  </si>
  <si>
    <t>Presión máxima limitada (*)</t>
  </si>
  <si>
    <t>Carga Anclajes M1C con distribución simétrica (2 escuadras simétricas por batache)</t>
  </si>
  <si>
    <t>Tracción escuadra Nek (SLS)</t>
  </si>
  <si>
    <t>MyEd</t>
  </si>
  <si>
    <t>VzEd</t>
  </si>
  <si>
    <t>Viga tirante anclajes</t>
  </si>
  <si>
    <t>N</t>
  </si>
  <si>
    <t>Wel, semineta</t>
  </si>
  <si>
    <t>Wpl</t>
  </si>
  <si>
    <t>Vpl, rd</t>
  </si>
  <si>
    <t>0,5·VplRd</t>
  </si>
  <si>
    <t>(1-p)</t>
  </si>
  <si>
    <t>fyd</t>
  </si>
  <si>
    <t>Mpl, Rd</t>
  </si>
  <si>
    <t>Mel, Rd</t>
  </si>
  <si>
    <t>2UPN160</t>
  </si>
  <si>
    <t>2 x 2UPN120
Unión simple
(sin Steiner)</t>
  </si>
  <si>
    <t>Barras D15 + anclaje perdido</t>
  </si>
  <si>
    <t>Barras D26,5 + anclaje perdido</t>
  </si>
  <si>
    <t>Barras D20 + anclaje perdido</t>
  </si>
  <si>
    <t>NRd ser (SLS)</t>
  </si>
  <si>
    <t>Barras tirantes</t>
  </si>
  <si>
    <t>mm³</t>
  </si>
  <si>
    <t>Barras D26,5 de GANCHO perdido integrado
en armadura, fck min horm anclaje 25 Mpa
(posición anclaje s/manual M1C 6 a 9m)</t>
  </si>
  <si>
    <t>ca1 efectivo</t>
  </si>
  <si>
    <t>ca1 (*)</t>
  </si>
  <si>
    <t>Distancias a borde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</si>
</sst>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6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1" fontId="0" fillId="0" borderId="14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9" xfId="0" applyBorder="1"/>
    <xf numFmtId="0" fontId="3" fillId="0" borderId="9" xfId="0" applyFont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/>
    <xf numFmtId="0" fontId="3" fillId="0" borderId="13" xfId="0" applyFont="1" applyBorder="1"/>
    <xf numFmtId="0" fontId="3" fillId="0" borderId="0" xfId="0" quotePrefix="1" applyFont="1"/>
    <xf numFmtId="0" fontId="0" fillId="0" borderId="10" xfId="0" applyBorder="1"/>
    <xf numFmtId="0" fontId="0" fillId="0" borderId="12" xfId="0" applyBorder="1"/>
    <xf numFmtId="2" fontId="0" fillId="0" borderId="13" xfId="0" applyNumberFormat="1" applyBorder="1"/>
    <xf numFmtId="0" fontId="0" fillId="0" borderId="13" xfId="0" applyBorder="1" applyAlignment="1">
      <alignment wrapText="1"/>
    </xf>
    <xf numFmtId="0" fontId="3" fillId="0" borderId="1" xfId="0" applyFont="1" applyBorder="1"/>
    <xf numFmtId="0" fontId="3" fillId="0" borderId="3" xfId="0" applyFont="1" applyBorder="1"/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10" xfId="0" applyFont="1" applyBorder="1" applyAlignment="1">
      <alignment wrapText="1"/>
    </xf>
    <xf numFmtId="0" fontId="4" fillId="0" borderId="2" xfId="0" applyFont="1" applyBorder="1"/>
    <xf numFmtId="0" fontId="4" fillId="0" borderId="3" xfId="0" applyFont="1" applyBorder="1"/>
    <xf numFmtId="0" fontId="4" fillId="0" borderId="12" xfId="0" applyFont="1" applyBorder="1" applyAlignment="1">
      <alignment wrapText="1"/>
    </xf>
    <xf numFmtId="0" fontId="4" fillId="0" borderId="7" xfId="0" applyFont="1" applyBorder="1"/>
    <xf numFmtId="0" fontId="4" fillId="0" borderId="8" xfId="0" applyFont="1" applyBorder="1"/>
    <xf numFmtId="2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13" xfId="0" applyFont="1" applyBorder="1" applyAlignment="1">
      <alignment wrapText="1"/>
    </xf>
    <xf numFmtId="2" fontId="2" fillId="0" borderId="13" xfId="0" applyNumberFormat="1" applyFont="1" applyBorder="1"/>
    <xf numFmtId="0" fontId="2" fillId="0" borderId="15" xfId="0" applyFont="1" applyBorder="1"/>
    <xf numFmtId="0" fontId="2" fillId="0" borderId="0" xfId="0" applyFont="1" applyAlignment="1">
      <alignment horizontal="left"/>
    </xf>
    <xf numFmtId="0" fontId="2" fillId="0" borderId="9" xfId="0" applyFont="1" applyBorder="1"/>
    <xf numFmtId="2" fontId="1" fillId="0" borderId="13" xfId="0" applyNumberFormat="1" applyFont="1" applyBorder="1"/>
    <xf numFmtId="0" fontId="5" fillId="0" borderId="9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2" fontId="2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4B4B"/>
      <color rgb="FFFF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137160</xdr:colOff>
      <xdr:row>2</xdr:row>
      <xdr:rowOff>40005</xdr:rowOff>
    </xdr:from>
    <xdr:to>
      <xdr:col>7</xdr:col>
      <xdr:colOff>479889</xdr:colOff>
      <xdr:row>20</xdr:row>
      <xdr:rowOff>173355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D3689B9-307B-40D4-A242-C32F0CCB81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58004" b="6973"/>
        <a:stretch/>
      </xdr:blipFill>
      <xdr:spPr>
        <a:xfrm>
          <a:off x="4137660" y="222885"/>
          <a:ext cx="1592409" cy="3594735"/>
        </a:xfrm>
        <a:prstGeom prst="rect">
          <a:avLst/>
        </a:prstGeom>
      </xdr:spPr>
    </xdr:pic>
    <xdr:clientData/>
  </xdr:twoCellAnchor>
  <xdr:twoCellAnchor editAs="oneCell">
    <xdr:from>
      <xdr:col>3</xdr:col>
      <xdr:colOff>62866</xdr:colOff>
      <xdr:row>24</xdr:row>
      <xdr:rowOff>148592</xdr:rowOff>
    </xdr:from>
    <xdr:to>
      <xdr:col>9</xdr:col>
      <xdr:colOff>476126</xdr:colOff>
      <xdr:row>37</xdr:row>
      <xdr:rowOff>76201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8129DB-8EE1-0E1B-F44C-542FC0BD0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2891" y="4672967"/>
          <a:ext cx="3247900" cy="2280284"/>
        </a:xfrm>
        <a:prstGeom prst="rect">
          <a:avLst/>
        </a:prstGeom>
      </xdr:spPr>
    </xdr:pic>
    <xdr:clientData/>
  </xdr:twoCellAnchor>
  <xdr:twoCellAnchor editAs="oneCell">
    <xdr:from>
      <xdr:col>9</xdr:col>
      <xdr:colOff>522797</xdr:colOff>
      <xdr:row>22</xdr:row>
      <xdr:rowOff>175259</xdr:rowOff>
    </xdr:from>
    <xdr:to>
      <xdr:col>21</xdr:col>
      <xdr:colOff>95826</xdr:colOff>
      <xdr:row>45</xdr:row>
      <xdr:rowOff>60152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DD1DA26-B781-BF52-A9A5-86DA91580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71272" y="4337684"/>
          <a:ext cx="6684394" cy="4051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B73E-D072-4D3C-8B88-1144C76BE436}">
  <dimension ref="A1:T46"/>
  <sheetViews>
    <sheetView showGridLines="0" tabSelected="1" topLeftCell="A12" zoomScaleNormal="100" workbookViewId="0">
      <selection activeCell="H41" sqref="H41"/>
    </sheetView>
  </sheetViews>
  <sheetFormatPr baseColWidth="10" defaultRowHeight="14.4" x14ac:dyDescent="0.3"/>
  <cols>
    <col min="1" max="1" width="36.88671875" customWidth="1"/>
    <col min="2" max="2" width="14.5546875" customWidth="1"/>
    <col min="3" max="3" width="6.88671875" customWidth="1"/>
    <col min="4" max="7" width="4.5546875" customWidth="1"/>
    <col min="10" max="10" width="12.77734375" customWidth="1"/>
    <col min="11" max="11" width="5.44140625" customWidth="1"/>
    <col min="12" max="12" width="7.77734375" customWidth="1"/>
    <col min="13" max="13" width="8.21875" customWidth="1"/>
    <col min="14" max="14" width="5.5546875" customWidth="1"/>
    <col min="15" max="15" width="13.21875" customWidth="1"/>
    <col min="16" max="16" width="7.88671875" customWidth="1"/>
    <col min="17" max="17" width="8" customWidth="1"/>
    <col min="18" max="18" width="8.33203125" customWidth="1"/>
    <col min="19" max="20" width="7.44140625" bestFit="1" customWidth="1"/>
  </cols>
  <sheetData>
    <row r="1" spans="1:20" x14ac:dyDescent="0.3">
      <c r="A1" s="7" t="s">
        <v>52</v>
      </c>
    </row>
    <row r="2" spans="1:20" x14ac:dyDescent="0.3">
      <c r="A2" s="20" t="s">
        <v>23</v>
      </c>
      <c r="L2" s="6" t="s">
        <v>55</v>
      </c>
      <c r="M2" s="8">
        <f>+B21</f>
        <v>225.390286503212</v>
      </c>
      <c r="N2" t="s">
        <v>6</v>
      </c>
    </row>
    <row r="3" spans="1:20" x14ac:dyDescent="0.3">
      <c r="A3" s="19" t="s">
        <v>48</v>
      </c>
      <c r="B3" s="19">
        <v>9</v>
      </c>
      <c r="C3" s="18" t="s">
        <v>12</v>
      </c>
      <c r="L3" s="43" t="s">
        <v>54</v>
      </c>
      <c r="M3" s="9">
        <f>+B21*B32/1000</f>
        <v>45.078057300642399</v>
      </c>
      <c r="N3" s="7" t="s">
        <v>15</v>
      </c>
    </row>
    <row r="4" spans="1:20" x14ac:dyDescent="0.3">
      <c r="A4" s="19" t="s">
        <v>51</v>
      </c>
      <c r="B4" s="19">
        <v>25</v>
      </c>
      <c r="C4" s="18" t="s">
        <v>32</v>
      </c>
      <c r="J4" s="7" t="s">
        <v>56</v>
      </c>
    </row>
    <row r="5" spans="1:20" x14ac:dyDescent="0.3">
      <c r="A5" s="25" t="s">
        <v>49</v>
      </c>
      <c r="B5" s="25">
        <v>2</v>
      </c>
      <c r="C5" s="26" t="s">
        <v>12</v>
      </c>
      <c r="J5" s="33"/>
      <c r="K5" s="31" t="s">
        <v>63</v>
      </c>
      <c r="L5" s="31" t="s">
        <v>60</v>
      </c>
      <c r="M5" s="31" t="s">
        <v>61</v>
      </c>
      <c r="N5" s="31" t="s">
        <v>62</v>
      </c>
      <c r="O5" s="31" t="s">
        <v>58</v>
      </c>
      <c r="P5" s="31" t="s">
        <v>59</v>
      </c>
      <c r="Q5" s="41" t="s">
        <v>65</v>
      </c>
      <c r="R5" s="31" t="s">
        <v>64</v>
      </c>
    </row>
    <row r="6" spans="1:20" x14ac:dyDescent="0.3">
      <c r="A6" s="34" t="s">
        <v>41</v>
      </c>
      <c r="B6" s="35">
        <v>4</v>
      </c>
      <c r="C6" s="36" t="s">
        <v>14</v>
      </c>
      <c r="J6" s="7"/>
      <c r="K6" s="32" t="s">
        <v>7</v>
      </c>
      <c r="L6" s="32" t="s">
        <v>57</v>
      </c>
      <c r="M6" s="32" t="s">
        <v>57</v>
      </c>
      <c r="N6" s="32"/>
      <c r="O6" s="32" t="s">
        <v>73</v>
      </c>
      <c r="P6" s="32" t="s">
        <v>73</v>
      </c>
      <c r="Q6" s="42" t="s">
        <v>15</v>
      </c>
      <c r="R6" s="32" t="s">
        <v>15</v>
      </c>
    </row>
    <row r="7" spans="1:20" ht="28.8" x14ac:dyDescent="0.3">
      <c r="A7" s="37" t="s">
        <v>50</v>
      </c>
      <c r="B7" s="38"/>
      <c r="C7" s="39"/>
      <c r="J7" s="28" t="s">
        <v>10</v>
      </c>
      <c r="K7" s="4">
        <v>275</v>
      </c>
      <c r="L7" s="29">
        <v>233870.16029198768</v>
      </c>
      <c r="M7" s="29">
        <v>116935.08014599384</v>
      </c>
      <c r="N7" s="30">
        <f>IF(M2*1000&lt;$M$7,1,(1-(2*M2*1000/$L$7-1)^2))</f>
        <v>0.13977675335557449</v>
      </c>
      <c r="O7" s="29">
        <v>121245.16289817974</v>
      </c>
      <c r="P7" s="29">
        <v>145200</v>
      </c>
      <c r="Q7" s="40">
        <f>+$O$7*$K$7*N7*0.000001</f>
        <v>4.6604951882432131</v>
      </c>
      <c r="R7" s="30">
        <f>+$P$7*$K$7*N7*0.000001</f>
        <v>5.5812857614880889</v>
      </c>
      <c r="S7" s="7" t="str">
        <f>+IF(Q7&gt;=$M$3,"OK","FALLO")</f>
        <v>FALLO</v>
      </c>
    </row>
    <row r="8" spans="1:20" x14ac:dyDescent="0.3">
      <c r="A8" s="1" t="s">
        <v>43</v>
      </c>
      <c r="B8" s="1">
        <v>1.5</v>
      </c>
      <c r="C8" s="2"/>
      <c r="J8" s="28" t="s">
        <v>66</v>
      </c>
      <c r="K8" s="4">
        <v>275</v>
      </c>
      <c r="L8" s="29">
        <v>400103.73654841067</v>
      </c>
      <c r="M8" s="29">
        <v>200051.86827420534</v>
      </c>
      <c r="N8" s="30">
        <f>IF(M2*1000&lt;$M$8,1,(1-(2*M2*1000/$L$8-1)^2))</f>
        <v>0.98395743612131059</v>
      </c>
      <c r="O8" s="29">
        <v>232000</v>
      </c>
      <c r="P8" s="29">
        <v>276000</v>
      </c>
      <c r="Q8" s="40">
        <f>+$O$8*$K$8*N8*0.000001</f>
        <v>62.776484424539618</v>
      </c>
      <c r="R8" s="30">
        <f>+$P$8*$K$8*N8*0.000001</f>
        <v>74.68236940160746</v>
      </c>
      <c r="S8" s="7" t="str">
        <f>+IF(Q8&gt;=$M$3,"OK","FALLO")</f>
        <v>OK</v>
      </c>
      <c r="T8" s="27"/>
    </row>
    <row r="9" spans="1:20" ht="14.4" customHeight="1" x14ac:dyDescent="0.3">
      <c r="A9" s="10" t="s">
        <v>31</v>
      </c>
      <c r="B9" s="10">
        <v>25</v>
      </c>
      <c r="C9" s="12" t="s">
        <v>13</v>
      </c>
      <c r="J9" s="64" t="s">
        <v>67</v>
      </c>
      <c r="K9" s="65">
        <v>275</v>
      </c>
      <c r="L9" s="66">
        <f>+L7*2</f>
        <v>467740.32058397535</v>
      </c>
      <c r="M9" s="66">
        <f>+M7*2</f>
        <v>233870.16029198768</v>
      </c>
      <c r="N9" s="67">
        <f>IF(M2*1000&lt;$M$9,1,(1-(2*M2*1000/$L$9-1)^2))</f>
        <v>1</v>
      </c>
      <c r="O9" s="66">
        <f>+O7*2</f>
        <v>242490.32579635948</v>
      </c>
      <c r="P9" s="66">
        <f>+P7*2</f>
        <v>290400</v>
      </c>
      <c r="Q9" s="69">
        <f>+$O$9*$K$9*N9*0.000001</f>
        <v>66.684839593998859</v>
      </c>
      <c r="R9" s="67">
        <f>+$P$9*$K$9*N9*0.000001</f>
        <v>79.86</v>
      </c>
      <c r="S9" s="51" t="str">
        <f>+IF(Q9&gt;=$M$3,"OK","FALLO")</f>
        <v>OK</v>
      </c>
    </row>
    <row r="10" spans="1:20" x14ac:dyDescent="0.3">
      <c r="A10" s="10" t="s">
        <v>33</v>
      </c>
      <c r="B10" s="10">
        <f>+MIN(B4/B9,B3)</f>
        <v>1</v>
      </c>
      <c r="C10" s="12" t="s">
        <v>12</v>
      </c>
      <c r="J10" s="64"/>
      <c r="K10" s="65"/>
      <c r="L10" s="66"/>
      <c r="M10" s="66"/>
      <c r="N10" s="67"/>
      <c r="O10" s="66"/>
      <c r="P10" s="66"/>
      <c r="Q10" s="69"/>
      <c r="R10" s="67"/>
      <c r="S10" s="51"/>
    </row>
    <row r="11" spans="1:20" x14ac:dyDescent="0.3">
      <c r="A11" s="10" t="s">
        <v>34</v>
      </c>
      <c r="B11" s="10">
        <f>+B9*B10^2*0.5</f>
        <v>12.5</v>
      </c>
      <c r="C11" s="12" t="s">
        <v>11</v>
      </c>
      <c r="J11" s="64"/>
      <c r="K11" s="65"/>
      <c r="L11" s="66"/>
      <c r="M11" s="66"/>
      <c r="N11" s="67"/>
      <c r="O11" s="66"/>
      <c r="P11" s="66"/>
      <c r="Q11" s="69"/>
      <c r="R11" s="67"/>
      <c r="S11" s="51"/>
    </row>
    <row r="12" spans="1:20" x14ac:dyDescent="0.3">
      <c r="A12" s="10" t="s">
        <v>35</v>
      </c>
      <c r="B12" s="23">
        <f>+B3-B10*2/3</f>
        <v>8.3333333333333339</v>
      </c>
      <c r="C12" s="12" t="s">
        <v>12</v>
      </c>
    </row>
    <row r="13" spans="1:20" x14ac:dyDescent="0.3">
      <c r="A13" s="10" t="s">
        <v>36</v>
      </c>
      <c r="B13" s="10">
        <f>+B4*(B3-B10)</f>
        <v>200</v>
      </c>
      <c r="C13" s="12" t="s">
        <v>11</v>
      </c>
      <c r="J13" s="7" t="s">
        <v>72</v>
      </c>
    </row>
    <row r="14" spans="1:20" x14ac:dyDescent="0.3">
      <c r="A14" s="10" t="s">
        <v>37</v>
      </c>
      <c r="B14" s="10">
        <f>+(B3-B10)*0.5</f>
        <v>4</v>
      </c>
      <c r="C14" s="12" t="s">
        <v>12</v>
      </c>
      <c r="O14" s="3" t="s">
        <v>71</v>
      </c>
    </row>
    <row r="15" spans="1:20" x14ac:dyDescent="0.3">
      <c r="A15" s="10" t="s">
        <v>38</v>
      </c>
      <c r="B15" s="10">
        <f>+B11+B13</f>
        <v>212.5</v>
      </c>
      <c r="C15" s="12" t="s">
        <v>11</v>
      </c>
      <c r="J15" s="68" t="s">
        <v>68</v>
      </c>
      <c r="K15" s="68"/>
      <c r="L15" s="68"/>
      <c r="M15" s="68"/>
      <c r="N15" s="68"/>
      <c r="O15" s="3">
        <v>90</v>
      </c>
      <c r="P15" s="47" t="str">
        <f>+IF(AND($D$46="OK",$B$22&lt;=O15),"OK","FALLO")</f>
        <v>FALLO</v>
      </c>
    </row>
    <row r="16" spans="1:20" x14ac:dyDescent="0.3">
      <c r="A16" s="10" t="s">
        <v>39</v>
      </c>
      <c r="B16" s="23">
        <f>+(B11*B12+B13*B14)/B15</f>
        <v>4.2549019607843137</v>
      </c>
      <c r="C16" s="12" t="s">
        <v>12</v>
      </c>
      <c r="J16" s="68" t="s">
        <v>70</v>
      </c>
      <c r="K16" s="68"/>
      <c r="L16" s="68"/>
      <c r="M16" s="68"/>
      <c r="N16" s="68"/>
      <c r="O16" s="3">
        <v>160</v>
      </c>
      <c r="P16" s="47" t="str">
        <f>+IF(AND($D$46="OK",$B$22&lt;=O16),"OK","FALLO")</f>
        <v>FALLO</v>
      </c>
    </row>
    <row r="17" spans="1:16" ht="14.4" customHeight="1" x14ac:dyDescent="0.3">
      <c r="A17" s="24" t="s">
        <v>40</v>
      </c>
      <c r="B17" s="10">
        <f>+B15*B5</f>
        <v>425</v>
      </c>
      <c r="C17" s="12" t="s">
        <v>6</v>
      </c>
      <c r="J17" s="68" t="s">
        <v>69</v>
      </c>
      <c r="K17" s="68"/>
      <c r="L17" s="68"/>
      <c r="M17" s="68"/>
      <c r="N17" s="68"/>
      <c r="O17" s="3">
        <v>220</v>
      </c>
      <c r="P17" s="47" t="str">
        <f>+IF(AND($D$46="OK",$B$22&lt;=O17),"OK","FALLO")</f>
        <v>FALLO</v>
      </c>
    </row>
    <row r="18" spans="1:16" x14ac:dyDescent="0.3">
      <c r="A18" s="24" t="s">
        <v>53</v>
      </c>
      <c r="B18" s="49">
        <f>+SQRT(2*(B17*0.5)^2)</f>
        <v>300.52038200428268</v>
      </c>
      <c r="C18" s="12" t="s">
        <v>6</v>
      </c>
      <c r="J18" s="55" t="s">
        <v>74</v>
      </c>
      <c r="K18" s="56"/>
      <c r="L18" s="56"/>
      <c r="M18" s="56"/>
      <c r="N18" s="57"/>
      <c r="O18" s="52">
        <v>220</v>
      </c>
      <c r="P18" s="51" t="str">
        <f>+IF($B$22&lt;=O18,"OK","FALLO")</f>
        <v>OK</v>
      </c>
    </row>
    <row r="19" spans="1:16" x14ac:dyDescent="0.3">
      <c r="A19" s="24" t="s">
        <v>46</v>
      </c>
      <c r="B19" s="10">
        <f>+B17*0.5</f>
        <v>212.5</v>
      </c>
      <c r="C19" s="12" t="s">
        <v>6</v>
      </c>
      <c r="J19" s="58"/>
      <c r="K19" s="59"/>
      <c r="L19" s="59"/>
      <c r="M19" s="59"/>
      <c r="N19" s="60"/>
      <c r="O19" s="53"/>
      <c r="P19" s="51"/>
    </row>
    <row r="20" spans="1:16" x14ac:dyDescent="0.3">
      <c r="A20" s="24" t="s">
        <v>42</v>
      </c>
      <c r="B20" s="23">
        <f>+B17/B6</f>
        <v>106.25</v>
      </c>
      <c r="C20" s="12" t="s">
        <v>6</v>
      </c>
      <c r="J20" s="61"/>
      <c r="K20" s="62"/>
      <c r="L20" s="62"/>
      <c r="M20" s="62"/>
      <c r="N20" s="63"/>
      <c r="O20" s="54"/>
      <c r="P20" s="51"/>
    </row>
    <row r="21" spans="1:16" x14ac:dyDescent="0.3">
      <c r="A21" s="44" t="s">
        <v>45</v>
      </c>
      <c r="B21" s="45">
        <f>+B22*B8</f>
        <v>225.390286503212</v>
      </c>
      <c r="C21" s="46" t="s">
        <v>6</v>
      </c>
    </row>
    <row r="22" spans="1:16" x14ac:dyDescent="0.3">
      <c r="A22" s="44" t="s">
        <v>44</v>
      </c>
      <c r="B22" s="45">
        <f>+SQRT(2*B20^2)</f>
        <v>150.26019100214134</v>
      </c>
      <c r="C22" s="46" t="s">
        <v>6</v>
      </c>
    </row>
    <row r="24" spans="1:16" x14ac:dyDescent="0.3">
      <c r="A24" s="7" t="s">
        <v>47</v>
      </c>
    </row>
    <row r="25" spans="1:16" x14ac:dyDescent="0.3">
      <c r="A25" s="20" t="s">
        <v>23</v>
      </c>
    </row>
    <row r="26" spans="1:16" x14ac:dyDescent="0.3">
      <c r="A26" s="16" t="s">
        <v>24</v>
      </c>
      <c r="B26" s="17">
        <v>35</v>
      </c>
      <c r="C26" s="18" t="s">
        <v>3</v>
      </c>
    </row>
    <row r="27" spans="1:16" x14ac:dyDescent="0.3">
      <c r="A27" s="16" t="s">
        <v>25</v>
      </c>
      <c r="B27" s="17">
        <v>440</v>
      </c>
      <c r="C27" s="18" t="s">
        <v>4</v>
      </c>
    </row>
    <row r="28" spans="1:16" x14ac:dyDescent="0.3">
      <c r="A28" s="10" t="s">
        <v>77</v>
      </c>
      <c r="B28" s="11"/>
      <c r="C28" s="12"/>
    </row>
    <row r="29" spans="1:16" x14ac:dyDescent="0.3">
      <c r="A29" s="16" t="s">
        <v>76</v>
      </c>
      <c r="B29" s="17">
        <v>500</v>
      </c>
      <c r="C29" s="18" t="s">
        <v>4</v>
      </c>
    </row>
    <row r="30" spans="1:16" x14ac:dyDescent="0.3">
      <c r="A30" s="15" t="s">
        <v>75</v>
      </c>
      <c r="B30" s="13">
        <f>MIN(B27*(COS(B37)+SIN(B37)*TAN(B37-ATAN(1/1.5))),B29)</f>
        <v>373.35238046649715</v>
      </c>
      <c r="C30" s="12" t="s">
        <v>4</v>
      </c>
    </row>
    <row r="31" spans="1:16" x14ac:dyDescent="0.3">
      <c r="A31" s="16" t="s">
        <v>26</v>
      </c>
      <c r="B31" s="17">
        <v>1500</v>
      </c>
      <c r="C31" s="18" t="s">
        <v>4</v>
      </c>
      <c r="J31" s="5"/>
    </row>
    <row r="32" spans="1:16" x14ac:dyDescent="0.3">
      <c r="A32" s="16" t="s">
        <v>27</v>
      </c>
      <c r="B32" s="17">
        <v>200</v>
      </c>
      <c r="C32" s="18" t="s">
        <v>4</v>
      </c>
    </row>
    <row r="33" spans="1:4" x14ac:dyDescent="0.3">
      <c r="A33" s="16" t="s">
        <v>28</v>
      </c>
      <c r="B33" s="17">
        <v>900</v>
      </c>
      <c r="C33" s="18" t="s">
        <v>4</v>
      </c>
    </row>
    <row r="34" spans="1:4" x14ac:dyDescent="0.3">
      <c r="A34" s="50" t="s">
        <v>19</v>
      </c>
      <c r="B34" s="11">
        <v>1.5</v>
      </c>
      <c r="C34" s="12"/>
    </row>
    <row r="35" spans="1:4" x14ac:dyDescent="0.3">
      <c r="A35" s="21" t="s">
        <v>20</v>
      </c>
      <c r="B35" s="11">
        <v>1.5</v>
      </c>
      <c r="C35" s="12"/>
    </row>
    <row r="36" spans="1:4" x14ac:dyDescent="0.3">
      <c r="A36" s="21" t="s">
        <v>16</v>
      </c>
      <c r="B36" s="11">
        <v>45</v>
      </c>
      <c r="C36" s="12" t="s">
        <v>17</v>
      </c>
    </row>
    <row r="37" spans="1:4" x14ac:dyDescent="0.3">
      <c r="A37" s="22"/>
      <c r="B37" s="14">
        <f>+B36*PI()/180</f>
        <v>0.78539816339744828</v>
      </c>
      <c r="C37" s="12" t="s">
        <v>18</v>
      </c>
    </row>
    <row r="38" spans="1:4" x14ac:dyDescent="0.3">
      <c r="A38" s="22" t="s">
        <v>21</v>
      </c>
      <c r="B38" s="11">
        <f>9*B27^2</f>
        <v>1742400</v>
      </c>
      <c r="C38" s="12" t="s">
        <v>5</v>
      </c>
    </row>
    <row r="39" spans="1:4" x14ac:dyDescent="0.3">
      <c r="A39" s="15" t="s">
        <v>22</v>
      </c>
      <c r="B39" s="13">
        <f>+(MIN(1.5*B27,B30)+MIN(1.5*B27,B31))*(MIN(1.5*B27,B32)+MIN(1.5*B27,B33))</f>
        <v>888683.04720118758</v>
      </c>
      <c r="C39" s="12" t="s">
        <v>5</v>
      </c>
    </row>
    <row r="40" spans="1:4" x14ac:dyDescent="0.3">
      <c r="A40" s="15" t="s">
        <v>2</v>
      </c>
      <c r="B40" s="14">
        <f>+B39/B38</f>
        <v>0.51003388843043362</v>
      </c>
      <c r="C40" s="12"/>
    </row>
    <row r="41" spans="1:4" x14ac:dyDescent="0.3">
      <c r="A41" s="15" t="s">
        <v>0</v>
      </c>
      <c r="B41" s="11">
        <v>10</v>
      </c>
      <c r="C41" s="12"/>
    </row>
    <row r="42" spans="1:4" x14ac:dyDescent="0.3">
      <c r="A42" s="15" t="s">
        <v>1</v>
      </c>
      <c r="B42" s="11">
        <v>1</v>
      </c>
      <c r="C42" s="12"/>
    </row>
    <row r="43" spans="1:4" x14ac:dyDescent="0.3">
      <c r="A43" s="15" t="s">
        <v>8</v>
      </c>
      <c r="B43" s="14">
        <f>+B41*B42*SQRT(B26)*B27^1.5/1000</f>
        <v>546.02564042359745</v>
      </c>
      <c r="C43" s="12" t="s">
        <v>6</v>
      </c>
    </row>
    <row r="44" spans="1:4" x14ac:dyDescent="0.3">
      <c r="A44" s="15" t="s">
        <v>9</v>
      </c>
      <c r="B44" s="14">
        <f>+B43*B40</f>
        <v>278.49158056796517</v>
      </c>
      <c r="C44" s="12" t="s">
        <v>6</v>
      </c>
    </row>
    <row r="45" spans="1:4" x14ac:dyDescent="0.3">
      <c r="A45" s="48" t="s">
        <v>30</v>
      </c>
      <c r="B45" s="14">
        <f>+B44/B34</f>
        <v>185.66105371197679</v>
      </c>
      <c r="C45" s="12" t="s">
        <v>6</v>
      </c>
      <c r="D45" s="7" t="str">
        <f>+IF(B45&gt;=B21,"OK","FALLO")</f>
        <v>FALLO</v>
      </c>
    </row>
    <row r="46" spans="1:4" x14ac:dyDescent="0.3">
      <c r="A46" s="48" t="s">
        <v>29</v>
      </c>
      <c r="B46" s="14">
        <f>+B45/B35</f>
        <v>123.77403580798453</v>
      </c>
      <c r="C46" s="12" t="s">
        <v>6</v>
      </c>
      <c r="D46" s="7" t="str">
        <f>+IF(B46&gt;=B22,"OK","FALLO")</f>
        <v>FALLO</v>
      </c>
    </row>
  </sheetData>
  <mergeCells count="16">
    <mergeCell ref="S9:S11"/>
    <mergeCell ref="O18:O20"/>
    <mergeCell ref="P18:P20"/>
    <mergeCell ref="J18:N20"/>
    <mergeCell ref="J9:J11"/>
    <mergeCell ref="K9:K11"/>
    <mergeCell ref="L9:L11"/>
    <mergeCell ref="M9:M11"/>
    <mergeCell ref="N9:N11"/>
    <mergeCell ref="O9:O11"/>
    <mergeCell ref="J17:N17"/>
    <mergeCell ref="J16:N16"/>
    <mergeCell ref="J15:N15"/>
    <mergeCell ref="P9:P11"/>
    <mergeCell ref="Q9:Q11"/>
    <mergeCell ref="R9:R11"/>
  </mergeCells>
  <conditionalFormatting sqref="B45:C46">
    <cfRule type="expression" dxfId="7" priority="3">
      <formula>$B$46&gt;=$B$22</formula>
    </cfRule>
    <cfRule type="expression" dxfId="6" priority="4">
      <formula>$B$46&lt;$B$22</formula>
    </cfRule>
  </conditionalFormatting>
  <conditionalFormatting sqref="J7:J9">
    <cfRule type="expression" dxfId="5" priority="12">
      <formula>Q7&gt;=$M$3</formula>
    </cfRule>
    <cfRule type="expression" dxfId="4" priority="13">
      <formula>Q7&lt;$M$3</formula>
    </cfRule>
  </conditionalFormatting>
  <conditionalFormatting sqref="J15:J18">
    <cfRule type="expression" dxfId="3" priority="1">
      <formula>P15="OK"</formula>
    </cfRule>
    <cfRule type="expression" dxfId="2" priority="2">
      <formula>P15="FALLO"</formula>
    </cfRule>
  </conditionalFormatting>
  <conditionalFormatting sqref="K15:N17">
    <cfRule type="expression" dxfId="1" priority="14">
      <formula>Q14="OK"</formula>
    </cfRule>
    <cfRule type="expression" dxfId="0" priority="15">
      <formula>Q14="FALLO"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Koschmieder</dc:creator>
  <cp:lastModifiedBy>Maximilian Koschmieder</cp:lastModifiedBy>
  <dcterms:created xsi:type="dcterms:W3CDTF">2021-04-22T08:44:24Z</dcterms:created>
  <dcterms:modified xsi:type="dcterms:W3CDTF">2023-11-07T08:54:36Z</dcterms:modified>
</cp:coreProperties>
</file>