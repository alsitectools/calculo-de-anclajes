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0" windowWidth="17520" windowHeight="11445"/>
  </bookViews>
  <sheets>
    <sheet name="Metodología completa " sheetId="1" r:id="rId1"/>
  </sheets>
  <definedNames>
    <definedName name="Rdconohormigón" localSheetId="0">'Metodología completa '!#REF!</definedName>
    <definedName name="RdDW" localSheetId="0">'Metodología completa '!$G$142</definedName>
    <definedName name="Rdtornillo" localSheetId="0">'Metodología completa '!#REF!</definedName>
    <definedName name="Rkconohormigón" localSheetId="0">'Metodología completa '!$E$144</definedName>
    <definedName name="RkDW" localSheetId="0">'Metodología completa '!$E$142</definedName>
    <definedName name="Rktornillo" localSheetId="0">'Metodología completa '!$E$143</definedName>
    <definedName name="Sdconohormigón" localSheetId="0">'Metodología completa '!$D$144</definedName>
    <definedName name="SdDW" localSheetId="0">'Metodología completa '!$D$142</definedName>
    <definedName name="Sdtornillo" localSheetId="0">'Metodología completa '!#REF!</definedName>
    <definedName name="Skconohormigón" localSheetId="0">'Metodología completa '!$B$144</definedName>
    <definedName name="SkDW" localSheetId="0">'Metodología completa '!$B$142</definedName>
    <definedName name="Sktornillo" localSheetId="0">'Metodología completa '!$B$143</definedName>
  </definedNames>
  <calcPr calcId="145621"/>
</workbook>
</file>

<file path=xl/calcChain.xml><?xml version="1.0" encoding="utf-8"?>
<calcChain xmlns="http://schemas.openxmlformats.org/spreadsheetml/2006/main">
  <c r="G143" i="1"/>
  <c r="E143"/>
  <c r="B73"/>
  <c r="B39" s="1"/>
  <c r="B45"/>
  <c r="B135" s="1"/>
  <c r="B152"/>
  <c r="D152" s="1"/>
  <c r="B157" s="1"/>
  <c r="B151"/>
  <c r="D151" s="1"/>
  <c r="B150"/>
  <c r="D150" s="1"/>
  <c r="B144"/>
  <c r="D144" s="1"/>
  <c r="B145"/>
  <c r="D145" s="1"/>
  <c r="B155" s="1"/>
  <c r="B143"/>
  <c r="D143" s="1"/>
  <c r="B22"/>
  <c r="D80" s="1"/>
  <c r="E144" l="1"/>
  <c r="A51"/>
  <c r="E14"/>
  <c r="B52" l="1"/>
  <c r="C52"/>
  <c r="D52"/>
  <c r="E52"/>
  <c r="D83"/>
  <c r="A45" l="1"/>
  <c r="E19"/>
  <c r="B21" l="1"/>
  <c r="E51" s="1"/>
  <c r="A80"/>
  <c r="D51" l="1"/>
  <c r="B51"/>
  <c r="G51"/>
  <c r="I52"/>
  <c r="I51"/>
  <c r="E28"/>
  <c r="B42"/>
  <c r="A42"/>
  <c r="C45"/>
  <c r="H80" l="1"/>
  <c r="J80"/>
  <c r="C80"/>
  <c r="F80"/>
  <c r="B80"/>
  <c r="C83"/>
  <c r="B83"/>
  <c r="I80"/>
  <c r="E21"/>
  <c r="A83" s="1"/>
  <c r="E10"/>
  <c r="D27" s="1"/>
  <c r="E9"/>
  <c r="D28" l="1"/>
  <c r="C28" s="1"/>
  <c r="B28" s="1"/>
  <c r="E83"/>
  <c r="K80" s="1"/>
  <c r="D26"/>
  <c r="E80"/>
  <c r="G80" s="1"/>
  <c r="G52"/>
  <c r="J52"/>
  <c r="J51"/>
  <c r="L80" l="1"/>
  <c r="E135" s="1"/>
  <c r="A73"/>
  <c r="A39"/>
  <c r="C132"/>
  <c r="B132"/>
  <c r="B108"/>
  <c r="C51" l="1"/>
  <c r="C100"/>
  <c r="F52" l="1"/>
  <c r="H52" s="1"/>
  <c r="F51"/>
  <c r="D55"/>
  <c r="C99"/>
  <c r="H51" l="1"/>
  <c r="C73"/>
  <c r="E137" s="1"/>
  <c r="B99" l="1"/>
  <c r="E150" s="1"/>
  <c r="G150" s="1"/>
  <c r="C63"/>
  <c r="B88" l="1"/>
  <c r="C62"/>
  <c r="C55" l="1"/>
  <c r="B55"/>
  <c r="A55"/>
  <c r="E56" l="1"/>
  <c r="L52" s="1"/>
  <c r="M52" s="1"/>
  <c r="B93" s="1"/>
  <c r="E136" s="1"/>
  <c r="E55"/>
  <c r="C39"/>
  <c r="C42" l="1"/>
  <c r="B136" s="1"/>
  <c r="L51"/>
  <c r="D99"/>
  <c r="C101"/>
  <c r="B62" l="1"/>
  <c r="D62" s="1"/>
  <c r="M51"/>
  <c r="B137" s="1"/>
  <c r="B101"/>
  <c r="E152" s="1"/>
  <c r="G152" s="1"/>
  <c r="B158" s="1"/>
  <c r="B63" l="1"/>
  <c r="E145" s="1"/>
  <c r="G145" s="1"/>
  <c r="B156" s="1"/>
  <c r="D101"/>
  <c r="D102" s="1"/>
  <c r="B64" l="1"/>
  <c r="G144"/>
  <c r="B100"/>
  <c r="D63"/>
  <c r="D64" l="1"/>
  <c r="B26" s="1"/>
  <c r="B102"/>
  <c r="E151"/>
  <c r="G151" s="1"/>
  <c r="B159" s="1"/>
  <c r="D100"/>
  <c r="E27" s="1"/>
  <c r="B106"/>
  <c r="C26" l="1"/>
  <c r="E64"/>
  <c r="E26"/>
  <c r="C115"/>
  <c r="E102"/>
  <c r="C111"/>
  <c r="B107"/>
  <c r="C130"/>
  <c r="C121"/>
  <c r="C118"/>
  <c r="C127"/>
  <c r="C116"/>
  <c r="C126"/>
  <c r="C113"/>
  <c r="C110"/>
  <c r="C123"/>
  <c r="C120"/>
  <c r="C112"/>
  <c r="C128"/>
  <c r="C124"/>
  <c r="C117"/>
  <c r="C122"/>
  <c r="C114"/>
  <c r="C129"/>
  <c r="C125"/>
  <c r="C119"/>
  <c r="B112" l="1"/>
  <c r="A159"/>
  <c r="C27"/>
  <c r="C29" s="1"/>
  <c r="B29" s="1"/>
  <c r="B30" s="1"/>
  <c r="B27"/>
  <c r="B127"/>
  <c r="B120"/>
  <c r="B111"/>
  <c r="B126"/>
  <c r="B125"/>
  <c r="B122"/>
  <c r="B119"/>
  <c r="B128"/>
  <c r="B121"/>
  <c r="B124"/>
  <c r="B116"/>
  <c r="B130"/>
  <c r="B115"/>
  <c r="B123"/>
  <c r="B118"/>
  <c r="B114"/>
  <c r="B113"/>
  <c r="B129"/>
  <c r="B117"/>
  <c r="B110"/>
</calcChain>
</file>

<file path=xl/comments1.xml><?xml version="1.0" encoding="utf-8"?>
<comments xmlns="http://schemas.openxmlformats.org/spreadsheetml/2006/main">
  <authors>
    <author>Albert</author>
  </authors>
  <commentList>
    <comment ref="A13" authorId="0">
      <text>
        <r>
          <rPr>
            <sz val="8"/>
            <color indexed="81"/>
            <rFont val="Tahoma"/>
            <family val="2"/>
          </rPr>
          <t xml:space="preserve">Valor 240 / T1C en función del tipo de cono.
Toma los siguientes valores en las celdas respectivas:
Valor/240/T1C
hef,calc (mm)/112,5/171
Placa (mm)/100/106
da (mm)/30/40
futa (N/mm2)/600/600
ΔCortante/0,55/0,64
Ase,N (mm2)/530/705
Øbarra/15/26,5
Tornillo/M24 8.8/M36 8.8
Nsa  barra (kN)/195/580
Nsa  tornillo (kN)/293/678
Ase,V (mm2)/1138/2001
</t>
        </r>
      </text>
    </comment>
    <comment ref="D13" authorId="0">
      <text>
        <r>
          <rPr>
            <sz val="9"/>
            <color indexed="81"/>
            <rFont val="Tahoma"/>
            <family val="2"/>
          </rPr>
          <t xml:space="preserve">Proyección del cono, Factor·hef
</t>
        </r>
      </text>
    </comment>
    <comment ref="A14" authorId="0">
      <text>
        <r>
          <rPr>
            <sz val="9"/>
            <color indexed="81"/>
            <rFont val="Tahoma"/>
            <family val="2"/>
          </rPr>
          <t>Válido para:
fc' &lt; 70 MPa en anclajes preinstalados 
fc' &lt; 55 Mpa en anclajes postinstalados</t>
        </r>
      </text>
    </comment>
    <comment ref="D14" authorId="0">
      <text>
        <r>
          <rPr>
            <sz val="9"/>
            <color indexed="81"/>
            <rFont val="Tahoma"/>
            <family val="2"/>
          </rPr>
          <t>Profundidad del anclaje para cálculo de cabeceo a cortante (=Longitud del cono)</t>
        </r>
      </text>
    </comment>
    <comment ref="A15" authorId="0">
      <text>
        <r>
          <rPr>
            <sz val="9"/>
            <color indexed="81"/>
            <rFont val="Tahoma"/>
            <family val="2"/>
          </rPr>
          <t>Espesor del hormigón</t>
        </r>
      </text>
    </comment>
    <comment ref="A16" authorId="0">
      <text>
        <r>
          <rPr>
            <sz val="9"/>
            <color indexed="81"/>
            <rFont val="Tahoma"/>
            <family val="2"/>
          </rPr>
          <t>Profundidad del anclaje</t>
        </r>
      </text>
    </comment>
    <comment ref="A17" authorId="0">
      <text>
        <r>
          <rPr>
            <sz val="9"/>
            <color indexed="81"/>
            <rFont val="Tahoma"/>
            <family val="2"/>
          </rPr>
          <t xml:space="preserve">Distáncia a borde lateral derecho
</t>
        </r>
      </text>
    </comment>
    <comment ref="D17" authorId="0">
      <text>
        <r>
          <rPr>
            <sz val="9"/>
            <color indexed="81"/>
            <rFont val="Tahoma"/>
            <family val="2"/>
          </rPr>
          <t>Factor para el diagrama de interacción
1,667 ACI
1,50 EOTA (si manda el acero 2,00)</t>
        </r>
      </text>
    </comment>
    <comment ref="A18" authorId="0">
      <text>
        <r>
          <rPr>
            <sz val="9"/>
            <color indexed="81"/>
            <rFont val="Tahoma"/>
            <family val="2"/>
          </rPr>
          <t>Distáncia a borde lateral izquierdo</t>
        </r>
      </text>
    </comment>
    <comment ref="D18" authorId="0">
      <text>
        <r>
          <rPr>
            <sz val="9"/>
            <color indexed="81"/>
            <rFont val="Tahoma"/>
            <family val="2"/>
          </rPr>
          <t>Factor de minoración para hormigones ligeros</t>
        </r>
      </text>
    </comment>
    <comment ref="A19" authorId="0">
      <text>
        <r>
          <rPr>
            <sz val="9"/>
            <color indexed="81"/>
            <rFont val="Tahoma"/>
            <family val="2"/>
          </rPr>
          <t>Distáncia a borde inferior/superior</t>
        </r>
      </text>
    </comment>
    <comment ref="D19" authorId="0">
      <text>
        <r>
          <rPr>
            <sz val="9"/>
            <color indexed="81"/>
            <rFont val="Tahoma"/>
            <family val="2"/>
          </rPr>
          <t>Lado de la placa cuadrada equivalente en mm</t>
        </r>
      </text>
    </comment>
    <comment ref="A20" authorId="0">
      <text>
        <r>
          <rPr>
            <sz val="9"/>
            <color indexed="81"/>
            <rFont val="Tahoma"/>
            <family val="2"/>
          </rPr>
          <t>Distáncia a borde inferior/superior</t>
        </r>
      </text>
    </comment>
    <comment ref="D20" authorId="0">
      <text>
        <r>
          <rPr>
            <sz val="9"/>
            <color indexed="81"/>
            <rFont val="Tahoma"/>
            <family val="2"/>
          </rPr>
          <t xml:space="preserve">Kc = 12 Anclajes con cono
Kc = 10 Anclajes preinstalados
Kc = 7  Anclajes postinstalados
</t>
        </r>
      </text>
    </comment>
    <comment ref="A21" authorId="0">
      <text>
        <r>
          <rPr>
            <sz val="9"/>
            <color indexed="81"/>
            <rFont val="Tahoma"/>
            <family val="2"/>
          </rPr>
          <t>Profundidad del anclaje afectada por 3 o más bordes</t>
        </r>
      </text>
    </comment>
    <comment ref="D21" authorId="0">
      <text>
        <r>
          <rPr>
            <sz val="9"/>
            <color indexed="81"/>
            <rFont val="Tahoma"/>
            <family val="2"/>
          </rPr>
          <t>Diámetro exterior del anclaje</t>
        </r>
      </text>
    </comment>
    <comment ref="A22" authorId="0">
      <text>
        <r>
          <rPr>
            <sz val="9"/>
            <color indexed="81"/>
            <rFont val="Tahoma"/>
            <family val="2"/>
          </rPr>
          <t>Distancia a borde afectada por 3 o más bordes</t>
        </r>
      </text>
    </comment>
    <comment ref="A23" authorId="0">
      <text>
        <r>
          <rPr>
            <sz val="9"/>
            <color indexed="81"/>
            <rFont val="Tahoma"/>
            <family val="2"/>
          </rPr>
          <t>Valor SI / NO en función de si el hormigón bajo cargas de servicio está fisurado o no fisurado.</t>
        </r>
      </text>
    </comment>
    <comment ref="B45" authorId="0">
      <text>
        <r>
          <rPr>
            <sz val="9"/>
            <color indexed="81"/>
            <rFont val="Tahoma"/>
            <family val="2"/>
          </rPr>
          <t xml:space="preserve">Según ISO 898-1 Tabla 4
M24 8.8 293 kN
M36 8.8 678 kN </t>
        </r>
      </text>
    </comment>
    <comment ref="C45" authorId="0">
      <text>
        <r>
          <rPr>
            <sz val="9"/>
            <color indexed="81"/>
            <rFont val="Tahoma"/>
            <family val="2"/>
          </rPr>
          <t>Amplificación del axil por el brazo del yoyó
0,64 en T1C
0,55 en 240</t>
        </r>
      </text>
    </comment>
    <comment ref="F51" authorId="0">
      <text>
        <r>
          <rPr>
            <sz val="9"/>
            <color indexed="81"/>
            <rFont val="Tahoma"/>
            <family val="2"/>
          </rPr>
          <t>Considerando la placa y proyectado según factor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sz val="9"/>
            <color indexed="81"/>
            <rFont val="Tahoma"/>
            <family val="2"/>
          </rPr>
          <t>Calculado sin placa 
y con 1,5·hef</t>
        </r>
      </text>
    </comment>
    <comment ref="K51" authorId="0">
      <text>
        <r>
          <rPr>
            <sz val="9"/>
            <color indexed="81"/>
            <rFont val="Tahoma"/>
            <family val="2"/>
          </rPr>
          <t>Factor para controlar el hendimiento en anclajes postinstalados.</t>
        </r>
      </text>
    </comment>
    <comment ref="L51" authorId="0">
      <text>
        <r>
          <rPr>
            <sz val="9"/>
            <color indexed="81"/>
            <rFont val="Tahoma"/>
            <family val="2"/>
          </rPr>
          <t>Fórmula tipo Nb=Kc·</t>
        </r>
        <r>
          <rPr>
            <sz val="9"/>
            <color indexed="81"/>
            <rFont val="Calibri"/>
            <family val="2"/>
          </rPr>
          <t>λ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81"/>
            <rFont val="Calibri"/>
            <family val="2"/>
          </rPr>
          <t>√</t>
        </r>
        <r>
          <rPr>
            <sz val="9"/>
            <color indexed="81"/>
            <rFont val="Tahoma"/>
            <family val="2"/>
          </rPr>
          <t xml:space="preserve">fc'·hef^1,5
</t>
        </r>
      </text>
    </comment>
    <comment ref="F52" authorId="0">
      <text>
        <r>
          <rPr>
            <sz val="9"/>
            <color indexed="81"/>
            <rFont val="Tahoma"/>
            <family val="2"/>
          </rPr>
          <t>Sin la placa y proyectado según factor</t>
        </r>
      </text>
    </comment>
    <comment ref="K52" authorId="0">
      <text>
        <r>
          <rPr>
            <sz val="9"/>
            <color indexed="81"/>
            <rFont val="Tahoma"/>
            <family val="2"/>
          </rPr>
          <t>Factor para controlar el hendimiento en anclajes postinstalados.</t>
        </r>
      </text>
    </comment>
    <comment ref="M52" authorId="0">
      <text>
        <r>
          <rPr>
            <sz val="9"/>
            <color indexed="81"/>
            <rFont val="Tahoma"/>
            <family val="2"/>
          </rPr>
          <t>NCb para cálculo a cabeceo (con hef = L cono)</t>
        </r>
      </text>
    </comment>
    <comment ref="E55" authorId="0">
      <text>
        <r>
          <rPr>
            <sz val="9"/>
            <color indexed="81"/>
            <rFont val="Tahoma"/>
            <family val="2"/>
          </rPr>
          <t>Fórmula tipo Nb=Kc·</t>
        </r>
        <r>
          <rPr>
            <sz val="9"/>
            <color indexed="81"/>
            <rFont val="Calibri"/>
            <family val="2"/>
          </rPr>
          <t>λ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81"/>
            <rFont val="Calibri"/>
            <family val="2"/>
          </rPr>
          <t>√</t>
        </r>
        <r>
          <rPr>
            <sz val="9"/>
            <color indexed="81"/>
            <rFont val="Tahoma"/>
            <family val="2"/>
          </rPr>
          <t xml:space="preserve">fc'·hef^1,5
</t>
        </r>
      </text>
    </comment>
    <comment ref="E56" authorId="0">
      <text>
        <r>
          <rPr>
            <sz val="9"/>
            <color indexed="81"/>
            <rFont val="Tahoma"/>
            <family val="2"/>
          </rPr>
          <t>Nb para cálculo a cabeceo (con hef = L cono)</t>
        </r>
      </text>
    </comment>
    <comment ref="K80" authorId="0">
      <text>
        <r>
          <rPr>
            <sz val="9"/>
            <color indexed="81"/>
            <rFont val="Tahoma"/>
            <family val="2"/>
          </rPr>
          <t>Fórmula tipoVb=0,60·(le/da)^0,2·√da·λ·√fc'·(ca2)^1,5</t>
        </r>
      </text>
    </comment>
    <comment ref="D83" authorId="0">
      <text>
        <r>
          <rPr>
            <sz val="8"/>
            <color indexed="81"/>
            <rFont val="Tahoma"/>
            <family val="2"/>
          </rPr>
          <t>Longitud del cono
240, 112,5 mm
T1C, 171 mm</t>
        </r>
      </text>
    </comment>
    <comment ref="E83" authorId="0">
      <text>
        <r>
          <rPr>
            <sz val="9"/>
            <color indexed="81"/>
            <rFont val="Tahoma"/>
            <family val="2"/>
          </rPr>
          <t>Fórmula tipoVb=0,60·(le/da)^0,2·</t>
        </r>
        <r>
          <rPr>
            <sz val="9"/>
            <color indexed="81"/>
            <rFont val="Calibri"/>
            <family val="2"/>
          </rPr>
          <t>√</t>
        </r>
        <r>
          <rPr>
            <sz val="9"/>
            <color indexed="81"/>
            <rFont val="Tahoma"/>
            <family val="2"/>
          </rPr>
          <t>da·</t>
        </r>
        <r>
          <rPr>
            <sz val="9"/>
            <color indexed="81"/>
            <rFont val="Calibri"/>
            <family val="2"/>
          </rPr>
          <t>λ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81"/>
            <rFont val="Calibri"/>
            <family val="2"/>
          </rPr>
          <t>√</t>
        </r>
        <r>
          <rPr>
            <sz val="9"/>
            <color indexed="81"/>
            <rFont val="Tahoma"/>
            <family val="2"/>
          </rPr>
          <t>fc'·(ca2)^1,5</t>
        </r>
      </text>
    </comment>
    <comment ref="B88" authorId="0">
      <text>
        <r>
          <rPr>
            <sz val="9"/>
            <color indexed="81"/>
            <rFont val="Tahoma"/>
            <family val="2"/>
          </rPr>
          <t xml:space="preserve">Fórmula tipoVb=0,60·(le/da)^0,2·√da·λ·√fc'·(ca2)^1,5
</t>
        </r>
      </text>
    </comment>
    <comment ref="B93" authorId="0">
      <text>
        <r>
          <rPr>
            <sz val="9"/>
            <color indexed="81"/>
            <rFont val="Tahoma"/>
            <family val="2"/>
          </rPr>
          <t>Viene de la resistencia a tracción
con hef = L cono</t>
        </r>
      </text>
    </comment>
  </commentList>
</comments>
</file>

<file path=xl/sharedStrings.xml><?xml version="1.0" encoding="utf-8"?>
<sst xmlns="http://schemas.openxmlformats.org/spreadsheetml/2006/main" count="188" uniqueCount="150">
  <si>
    <r>
      <t>A</t>
    </r>
    <r>
      <rPr>
        <b/>
        <sz val="9"/>
        <color theme="1"/>
        <rFont val="Calibri"/>
        <family val="2"/>
        <scheme val="minor"/>
      </rPr>
      <t>se,N</t>
    </r>
    <r>
      <rPr>
        <b/>
        <sz val="11"/>
        <color theme="1"/>
        <rFont val="Calibri"/>
        <family val="2"/>
        <scheme val="minor"/>
      </rPr>
      <t xml:space="preserve"> (mm2)</t>
    </r>
  </si>
  <si>
    <t>Cono</t>
  </si>
  <si>
    <t>Barra</t>
  </si>
  <si>
    <t>Nsa (kN)</t>
  </si>
  <si>
    <r>
      <t>A</t>
    </r>
    <r>
      <rPr>
        <b/>
        <sz val="8"/>
        <color theme="1"/>
        <rFont val="Calibri"/>
        <family val="2"/>
        <scheme val="minor"/>
      </rPr>
      <t xml:space="preserve">NC </t>
    </r>
    <r>
      <rPr>
        <b/>
        <sz val="11"/>
        <color theme="1"/>
        <rFont val="Calibri"/>
        <family val="2"/>
        <scheme val="minor"/>
      </rPr>
      <t>(mm2)</t>
    </r>
  </si>
  <si>
    <r>
      <t>A</t>
    </r>
    <r>
      <rPr>
        <b/>
        <sz val="8"/>
        <color theme="1"/>
        <rFont val="Calibri"/>
        <family val="2"/>
        <scheme val="minor"/>
      </rPr>
      <t>NC</t>
    </r>
    <r>
      <rPr>
        <b/>
        <sz val="11"/>
        <color theme="1"/>
        <rFont val="Calibri"/>
        <family val="2"/>
        <scheme val="minor"/>
      </rPr>
      <t xml:space="preserve"> / A</t>
    </r>
    <r>
      <rPr>
        <b/>
        <sz val="8"/>
        <color theme="1"/>
        <rFont val="Calibri"/>
        <family val="2"/>
        <scheme val="minor"/>
      </rPr>
      <t xml:space="preserve">N0 </t>
    </r>
  </si>
  <si>
    <r>
      <rPr>
        <b/>
        <sz val="11"/>
        <color theme="1"/>
        <rFont val="Calibri"/>
        <family val="2"/>
      </rPr>
      <t>Ψ</t>
    </r>
    <r>
      <rPr>
        <b/>
        <sz val="9"/>
        <color theme="1"/>
        <rFont val="Calibri"/>
        <family val="2"/>
      </rPr>
      <t>ed,N</t>
    </r>
  </si>
  <si>
    <r>
      <rPr>
        <b/>
        <sz val="11"/>
        <color theme="1"/>
        <rFont val="Calibri"/>
        <family val="2"/>
      </rPr>
      <t>Ψ</t>
    </r>
    <r>
      <rPr>
        <b/>
        <sz val="9"/>
        <color theme="1"/>
        <rFont val="Calibri"/>
        <family val="2"/>
      </rPr>
      <t>C,N</t>
    </r>
  </si>
  <si>
    <r>
      <rPr>
        <b/>
        <sz val="11"/>
        <color theme="1"/>
        <rFont val="Calibri"/>
        <family val="2"/>
      </rPr>
      <t>Ψcp</t>
    </r>
    <r>
      <rPr>
        <b/>
        <sz val="9"/>
        <color theme="1"/>
        <rFont val="Calibri"/>
        <family val="2"/>
      </rPr>
      <t>,N</t>
    </r>
  </si>
  <si>
    <t>Nb (kN)</t>
  </si>
  <si>
    <t>Kc</t>
  </si>
  <si>
    <t>λ</t>
  </si>
  <si>
    <t>Cálculo de Nb</t>
  </si>
  <si>
    <t>fc' (Mpa)</t>
  </si>
  <si>
    <t>Ncb (kN)</t>
  </si>
  <si>
    <r>
      <t>c</t>
    </r>
    <r>
      <rPr>
        <b/>
        <sz val="8"/>
        <color theme="1"/>
        <rFont val="Calibri"/>
        <family val="2"/>
        <scheme val="minor"/>
      </rPr>
      <t>a,min</t>
    </r>
    <r>
      <rPr>
        <b/>
        <sz val="11"/>
        <color theme="1"/>
        <rFont val="Calibri"/>
        <family val="2"/>
        <scheme val="minor"/>
      </rPr>
      <t xml:space="preserve"> (mm)</t>
    </r>
  </si>
  <si>
    <t>Fisuración</t>
  </si>
  <si>
    <r>
      <t>A</t>
    </r>
    <r>
      <rPr>
        <b/>
        <sz val="8"/>
        <color theme="1"/>
        <rFont val="Calibri"/>
        <family val="2"/>
        <scheme val="minor"/>
      </rPr>
      <t xml:space="preserve">NC0 </t>
    </r>
    <r>
      <rPr>
        <b/>
        <sz val="11"/>
        <color theme="1"/>
        <rFont val="Calibri"/>
        <family val="2"/>
        <scheme val="minor"/>
      </rPr>
      <t>(mm2)</t>
    </r>
  </si>
  <si>
    <t>1) RESISTENCIA DEL ACERO (Nsa)</t>
  </si>
  <si>
    <t>Cálculo de Ncb</t>
  </si>
  <si>
    <t>Factor</t>
  </si>
  <si>
    <t>Modo de fallo</t>
  </si>
  <si>
    <t>ACERO</t>
  </si>
  <si>
    <t>RESUMEN DE RESULTADOS</t>
  </si>
  <si>
    <r>
      <t>N</t>
    </r>
    <r>
      <rPr>
        <b/>
        <sz val="9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 xml:space="preserve"> (kN)</t>
    </r>
  </si>
  <si>
    <t>CÁLCULOS PRELIMINARES</t>
  </si>
  <si>
    <t xml:space="preserve">ARRANCA </t>
  </si>
  <si>
    <r>
      <t>h</t>
    </r>
    <r>
      <rPr>
        <b/>
        <sz val="8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(mm)</t>
    </r>
  </si>
  <si>
    <t xml:space="preserve">CÁLCULO DE ANCLAJES </t>
  </si>
  <si>
    <r>
      <t>f</t>
    </r>
    <r>
      <rPr>
        <b/>
        <sz val="9"/>
        <color theme="1"/>
        <rFont val="Calibri"/>
        <family val="2"/>
        <scheme val="minor"/>
      </rPr>
      <t>uta (N/mm2)</t>
    </r>
  </si>
  <si>
    <t>FS</t>
  </si>
  <si>
    <t>Placa (mm)</t>
  </si>
  <si>
    <r>
      <t>h</t>
    </r>
    <r>
      <rPr>
        <b/>
        <sz val="8"/>
        <color theme="1"/>
        <rFont val="Calibri"/>
        <family val="2"/>
        <scheme val="minor"/>
      </rPr>
      <t>ef</t>
    </r>
    <r>
      <rPr>
        <b/>
        <sz val="11"/>
        <color theme="1"/>
        <rFont val="Calibri"/>
        <family val="2"/>
        <scheme val="minor"/>
      </rPr>
      <t xml:space="preserve"> (mm)</t>
    </r>
  </si>
  <si>
    <r>
      <t>N</t>
    </r>
    <r>
      <rPr>
        <b/>
        <sz val="9"/>
        <color theme="1"/>
        <rFont val="Calibri"/>
        <family val="2"/>
      </rPr>
      <t>n/</t>
    </r>
    <r>
      <rPr>
        <b/>
        <sz val="11"/>
        <color theme="1"/>
        <rFont val="Calibri"/>
        <family val="2"/>
      </rPr>
      <t>FS (kN)</t>
    </r>
  </si>
  <si>
    <t>1) RESISTENCIA DEL ACERO (Vsa)</t>
  </si>
  <si>
    <r>
      <t>A</t>
    </r>
    <r>
      <rPr>
        <b/>
        <sz val="9"/>
        <color theme="1"/>
        <rFont val="Calibri"/>
        <family val="2"/>
        <scheme val="minor"/>
      </rPr>
      <t>se,V</t>
    </r>
    <r>
      <rPr>
        <b/>
        <sz val="11"/>
        <color theme="1"/>
        <rFont val="Calibri"/>
        <family val="2"/>
        <scheme val="minor"/>
      </rPr>
      <t xml:space="preserve"> (mm2)</t>
    </r>
  </si>
  <si>
    <r>
      <t>f</t>
    </r>
    <r>
      <rPr>
        <b/>
        <sz val="9"/>
        <color theme="1"/>
        <rFont val="Calibri"/>
        <family val="2"/>
        <scheme val="minor"/>
      </rPr>
      <t>uta</t>
    </r>
  </si>
  <si>
    <t>Vsa (kN)</t>
  </si>
  <si>
    <t>hef (mm)</t>
  </si>
  <si>
    <r>
      <t>d</t>
    </r>
    <r>
      <rPr>
        <b/>
        <sz val="9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(mm)</t>
    </r>
  </si>
  <si>
    <t>Cortante perpendicular al borde</t>
  </si>
  <si>
    <t>Cálculo de Vcb</t>
  </si>
  <si>
    <r>
      <t>A</t>
    </r>
    <r>
      <rPr>
        <b/>
        <sz val="8"/>
        <color theme="1"/>
        <rFont val="Calibri"/>
        <family val="2"/>
        <scheme val="minor"/>
      </rPr>
      <t xml:space="preserve">VC </t>
    </r>
    <r>
      <rPr>
        <b/>
        <sz val="11"/>
        <color theme="1"/>
        <rFont val="Calibri"/>
        <family val="2"/>
        <scheme val="minor"/>
      </rPr>
      <t>(mm2)</t>
    </r>
  </si>
  <si>
    <r>
      <t>A</t>
    </r>
    <r>
      <rPr>
        <b/>
        <sz val="8"/>
        <color theme="1"/>
        <rFont val="Calibri"/>
        <family val="2"/>
        <scheme val="minor"/>
      </rPr>
      <t xml:space="preserve">VC0 </t>
    </r>
    <r>
      <rPr>
        <b/>
        <sz val="11"/>
        <color theme="1"/>
        <rFont val="Calibri"/>
        <family val="2"/>
        <scheme val="minor"/>
      </rPr>
      <t>(mm2)</t>
    </r>
  </si>
  <si>
    <r>
      <t>A</t>
    </r>
    <r>
      <rPr>
        <b/>
        <sz val="8"/>
        <color theme="1"/>
        <rFont val="Calibri"/>
        <family val="2"/>
        <scheme val="minor"/>
      </rPr>
      <t>VC</t>
    </r>
    <r>
      <rPr>
        <b/>
        <sz val="11"/>
        <color theme="1"/>
        <rFont val="Calibri"/>
        <family val="2"/>
        <scheme val="minor"/>
      </rPr>
      <t xml:space="preserve"> / A</t>
    </r>
    <r>
      <rPr>
        <b/>
        <sz val="8"/>
        <color theme="1"/>
        <rFont val="Calibri"/>
        <family val="2"/>
        <scheme val="minor"/>
      </rPr>
      <t xml:space="preserve">VC0 </t>
    </r>
  </si>
  <si>
    <r>
      <rPr>
        <b/>
        <sz val="11"/>
        <color theme="1"/>
        <rFont val="Calibri"/>
        <family val="2"/>
      </rPr>
      <t>Ψ</t>
    </r>
    <r>
      <rPr>
        <b/>
        <sz val="9"/>
        <color theme="1"/>
        <rFont val="Calibri"/>
        <family val="2"/>
      </rPr>
      <t>ed,V</t>
    </r>
  </si>
  <si>
    <r>
      <rPr>
        <b/>
        <sz val="11"/>
        <color theme="1"/>
        <rFont val="Calibri"/>
        <family val="2"/>
      </rPr>
      <t>Ψ</t>
    </r>
    <r>
      <rPr>
        <b/>
        <sz val="9"/>
        <color theme="1"/>
        <rFont val="Calibri"/>
        <family val="2"/>
      </rPr>
      <t>C,V</t>
    </r>
  </si>
  <si>
    <r>
      <rPr>
        <b/>
        <sz val="11"/>
        <color theme="1"/>
        <rFont val="Calibri"/>
        <family val="2"/>
      </rPr>
      <t>Ψh</t>
    </r>
    <r>
      <rPr>
        <b/>
        <sz val="9"/>
        <color theme="1"/>
        <rFont val="Calibri"/>
        <family val="2"/>
      </rPr>
      <t>,V</t>
    </r>
  </si>
  <si>
    <t>Vb (kN)</t>
  </si>
  <si>
    <t>Vcb (kN)</t>
  </si>
  <si>
    <t>Cálculo de Vb</t>
  </si>
  <si>
    <r>
      <t>l</t>
    </r>
    <r>
      <rPr>
        <b/>
        <sz val="8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 xml:space="preserve"> (mm)</t>
    </r>
  </si>
  <si>
    <t>Cortante paralelo al borde</t>
  </si>
  <si>
    <r>
      <t>k</t>
    </r>
    <r>
      <rPr>
        <b/>
        <sz val="8"/>
        <color theme="1"/>
        <rFont val="Calibri"/>
        <family val="2"/>
        <scheme val="minor"/>
      </rPr>
      <t>cp</t>
    </r>
  </si>
  <si>
    <t>Vcp (kN)</t>
  </si>
  <si>
    <r>
      <t>V</t>
    </r>
    <r>
      <rPr>
        <b/>
        <sz val="9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 xml:space="preserve"> (kN)</t>
    </r>
  </si>
  <si>
    <r>
      <t>V</t>
    </r>
    <r>
      <rPr>
        <b/>
        <sz val="9"/>
        <color theme="1"/>
        <rFont val="Calibri"/>
        <family val="2"/>
      </rPr>
      <t xml:space="preserve">n / </t>
    </r>
    <r>
      <rPr>
        <b/>
        <sz val="11"/>
        <color theme="1"/>
        <rFont val="Calibri"/>
        <family val="2"/>
      </rPr>
      <t>FS (kN)</t>
    </r>
  </si>
  <si>
    <t>CÁLCULO DE LA RESISTENCIA A TRACCIÓN DEL ANCLAJE</t>
  </si>
  <si>
    <t>CÁLCULO DE LA RESISTENCIA A CORTANTE DEL ANCLAJE</t>
  </si>
  <si>
    <t xml:space="preserve">2) RESISTENCIA ARRANCAMIENTO HORMIGÓN (Ncb) </t>
  </si>
  <si>
    <t xml:space="preserve">2) RESISTENCIA ARRANCAMIENTO HORMIGÓN (Vcb) </t>
  </si>
  <si>
    <t xml:space="preserve">3) RESISTENCIA CABECEO DEL ANCLAJE (Vcp) </t>
  </si>
  <si>
    <t>CONO</t>
  </si>
  <si>
    <t>CABECEO</t>
  </si>
  <si>
    <t>DATOS DE PARTIDA</t>
  </si>
  <si>
    <t>IDENTIFICACIÓN</t>
  </si>
  <si>
    <r>
      <t>N</t>
    </r>
    <r>
      <rPr>
        <b/>
        <sz val="11"/>
        <color theme="1"/>
        <rFont val="Arial"/>
        <family val="2"/>
      </rPr>
      <t>d (kN)</t>
    </r>
  </si>
  <si>
    <r>
      <t>V</t>
    </r>
    <r>
      <rPr>
        <b/>
        <sz val="11"/>
        <color theme="1"/>
        <rFont val="Arial"/>
        <family val="2"/>
      </rPr>
      <t>d (kN)</t>
    </r>
  </si>
  <si>
    <r>
      <t xml:space="preserve">FS </t>
    </r>
    <r>
      <rPr>
        <b/>
        <sz val="9"/>
        <color theme="1"/>
        <rFont val="Calibri"/>
        <family val="2"/>
        <scheme val="minor"/>
      </rPr>
      <t>acero</t>
    </r>
  </si>
  <si>
    <r>
      <t xml:space="preserve">FS </t>
    </r>
    <r>
      <rPr>
        <b/>
        <sz val="9"/>
        <color theme="1"/>
        <rFont val="Calibri"/>
        <family val="2"/>
        <scheme val="minor"/>
      </rPr>
      <t>hormigón</t>
    </r>
  </si>
  <si>
    <t>α</t>
  </si>
  <si>
    <t>ANCLAJE</t>
  </si>
  <si>
    <t>DIAGRAMA DE INTERACCIÓN</t>
  </si>
  <si>
    <t>N (kN)</t>
  </si>
  <si>
    <t>V (kN)</t>
  </si>
  <si>
    <t>alfa</t>
  </si>
  <si>
    <t>Serie</t>
  </si>
  <si>
    <t>V</t>
  </si>
  <si>
    <t>N</t>
  </si>
  <si>
    <t>Tipo cono</t>
  </si>
  <si>
    <r>
      <t>h</t>
    </r>
    <r>
      <rPr>
        <b/>
        <sz val="8"/>
        <color theme="1"/>
        <rFont val="Calibri"/>
        <family val="2"/>
        <scheme val="minor"/>
      </rPr>
      <t>ef Calc</t>
    </r>
    <r>
      <rPr>
        <b/>
        <sz val="11"/>
        <color theme="1"/>
        <rFont val="Calibri"/>
        <family val="2"/>
        <scheme val="minor"/>
      </rPr>
      <t xml:space="preserve"> (mm)</t>
    </r>
  </si>
  <si>
    <r>
      <t>N</t>
    </r>
    <r>
      <rPr>
        <b/>
        <sz val="11"/>
        <color theme="1"/>
        <rFont val="Arial"/>
        <family val="2"/>
      </rPr>
      <t>d* (kN)</t>
    </r>
  </si>
  <si>
    <r>
      <t>V</t>
    </r>
    <r>
      <rPr>
        <b/>
        <sz val="11"/>
        <color theme="1"/>
        <rFont val="Arial"/>
        <family val="2"/>
      </rPr>
      <t>d* (kN)</t>
    </r>
  </si>
  <si>
    <t>Tornillo</t>
  </si>
  <si>
    <t>CARGAS EN ANCLAJE</t>
  </si>
  <si>
    <t>Sin mayorar</t>
  </si>
  <si>
    <t>Mayoradas</t>
  </si>
  <si>
    <t>RESULTADOS</t>
  </si>
  <si>
    <t>Tracción</t>
  </si>
  <si>
    <t>Cortante</t>
  </si>
  <si>
    <t>Interacción</t>
  </si>
  <si>
    <t>Resist -</t>
  </si>
  <si>
    <t>Esfue +</t>
  </si>
  <si>
    <t>Métrica</t>
  </si>
  <si>
    <r>
      <t>c</t>
    </r>
    <r>
      <rPr>
        <b/>
        <sz val="8"/>
        <color theme="1"/>
        <rFont val="Calibri"/>
        <family val="2"/>
        <scheme val="minor"/>
      </rPr>
      <t xml:space="preserve">a1izq </t>
    </r>
    <r>
      <rPr>
        <b/>
        <sz val="11"/>
        <color theme="1"/>
        <rFont val="Calibri"/>
        <family val="2"/>
        <scheme val="minor"/>
      </rPr>
      <t>(mm)</t>
    </r>
  </si>
  <si>
    <r>
      <t>c</t>
    </r>
    <r>
      <rPr>
        <b/>
        <sz val="8"/>
        <color theme="1"/>
        <rFont val="Calibri"/>
        <family val="2"/>
        <scheme val="minor"/>
      </rPr>
      <t xml:space="preserve">a1der </t>
    </r>
    <r>
      <rPr>
        <b/>
        <sz val="11"/>
        <color theme="1"/>
        <rFont val="Calibri"/>
        <family val="2"/>
        <scheme val="minor"/>
      </rPr>
      <t>(mm)</t>
    </r>
  </si>
  <si>
    <r>
      <rPr>
        <b/>
        <sz val="11"/>
        <rFont val="Calibri"/>
        <family val="2"/>
      </rPr>
      <t>Δ</t>
    </r>
    <r>
      <rPr>
        <b/>
        <sz val="11"/>
        <rFont val="Calibri"/>
        <family val="2"/>
        <scheme val="minor"/>
      </rPr>
      <t>cortante</t>
    </r>
  </si>
  <si>
    <r>
      <t>a</t>
    </r>
    <r>
      <rPr>
        <b/>
        <sz val="8"/>
        <rFont val="Calibri"/>
        <family val="2"/>
        <scheme val="minor"/>
      </rPr>
      <t>der</t>
    </r>
    <r>
      <rPr>
        <b/>
        <sz val="11"/>
        <rFont val="Calibri"/>
        <family val="2"/>
        <scheme val="minor"/>
      </rPr>
      <t xml:space="preserve"> (mm)</t>
    </r>
  </si>
  <si>
    <r>
      <t>a</t>
    </r>
    <r>
      <rPr>
        <b/>
        <sz val="8"/>
        <rFont val="Calibri"/>
        <family val="2"/>
        <scheme val="minor"/>
      </rPr>
      <t>izq</t>
    </r>
    <r>
      <rPr>
        <b/>
        <sz val="11"/>
        <rFont val="Calibri"/>
        <family val="2"/>
        <scheme val="minor"/>
      </rPr>
      <t xml:space="preserve"> (mm)</t>
    </r>
  </si>
  <si>
    <r>
      <t>h'</t>
    </r>
    <r>
      <rPr>
        <b/>
        <sz val="8"/>
        <color theme="1"/>
        <rFont val="Calibri"/>
        <family val="2"/>
        <scheme val="minor"/>
      </rPr>
      <t>ef</t>
    </r>
    <r>
      <rPr>
        <b/>
        <sz val="11"/>
        <color theme="1"/>
        <rFont val="Calibri"/>
        <family val="2"/>
        <scheme val="minor"/>
      </rPr>
      <t xml:space="preserve"> (mm)</t>
    </r>
  </si>
  <si>
    <r>
      <t>c</t>
    </r>
    <r>
      <rPr>
        <b/>
        <sz val="8"/>
        <color theme="1"/>
        <rFont val="Calibri"/>
        <family val="2"/>
        <scheme val="minor"/>
      </rPr>
      <t>a,1min</t>
    </r>
    <r>
      <rPr>
        <b/>
        <sz val="11"/>
        <color theme="1"/>
        <rFont val="Calibri"/>
        <family val="2"/>
        <scheme val="minor"/>
      </rPr>
      <t xml:space="preserve"> (mm)</t>
    </r>
  </si>
  <si>
    <r>
      <rPr>
        <b/>
        <sz val="11"/>
        <color theme="1"/>
        <rFont val="Calibri"/>
        <family val="2"/>
      </rPr>
      <t>Ø</t>
    </r>
    <r>
      <rPr>
        <b/>
        <sz val="11"/>
        <color theme="1"/>
        <rFont val="Calibri"/>
        <family val="2"/>
        <scheme val="minor"/>
      </rPr>
      <t xml:space="preserve"> (mm)</t>
    </r>
  </si>
  <si>
    <t>240 / T i Q / L213-500 / SB / Ø12C</t>
  </si>
  <si>
    <r>
      <t xml:space="preserve">CORTANTE </t>
    </r>
    <r>
      <rPr>
        <b/>
        <sz val="11"/>
        <color theme="1"/>
        <rFont val="Arial"/>
        <family val="2"/>
      </rPr>
      <t>(ACI con 0,60 en Vb y kcp = 1,80)</t>
    </r>
  </si>
  <si>
    <t>SI</t>
  </si>
  <si>
    <r>
      <t>c</t>
    </r>
    <r>
      <rPr>
        <b/>
        <sz val="8"/>
        <color theme="1"/>
        <rFont val="Calibri"/>
        <family val="2"/>
        <scheme val="minor"/>
      </rPr>
      <t xml:space="preserve">a2sup </t>
    </r>
    <r>
      <rPr>
        <b/>
        <sz val="11"/>
        <color theme="1"/>
        <rFont val="Calibri"/>
        <family val="2"/>
        <scheme val="minor"/>
      </rPr>
      <t>(mm)</t>
    </r>
  </si>
  <si>
    <r>
      <t>c</t>
    </r>
    <r>
      <rPr>
        <b/>
        <sz val="8"/>
        <color theme="1"/>
        <rFont val="Calibri"/>
        <family val="2"/>
        <scheme val="minor"/>
      </rPr>
      <t xml:space="preserve">a2inf </t>
    </r>
    <r>
      <rPr>
        <b/>
        <sz val="11"/>
        <color theme="1"/>
        <rFont val="Calibri"/>
        <family val="2"/>
        <scheme val="minor"/>
      </rPr>
      <t>(mm)</t>
    </r>
  </si>
  <si>
    <r>
      <t>b</t>
    </r>
    <r>
      <rPr>
        <b/>
        <sz val="8"/>
        <rFont val="Calibri"/>
        <family val="2"/>
        <scheme val="minor"/>
      </rPr>
      <t>inf</t>
    </r>
    <r>
      <rPr>
        <b/>
        <sz val="11"/>
        <rFont val="Calibri"/>
        <family val="2"/>
        <scheme val="minor"/>
      </rPr>
      <t xml:space="preserve"> (mm)</t>
    </r>
  </si>
  <si>
    <r>
      <t>c'</t>
    </r>
    <r>
      <rPr>
        <b/>
        <sz val="8"/>
        <color theme="1"/>
        <rFont val="Calibri"/>
        <family val="2"/>
        <scheme val="minor"/>
      </rPr>
      <t>a2inf</t>
    </r>
    <r>
      <rPr>
        <b/>
        <sz val="11"/>
        <color theme="1"/>
        <rFont val="Calibri"/>
        <family val="2"/>
        <scheme val="minor"/>
      </rPr>
      <t xml:space="preserve"> (mm)</t>
    </r>
  </si>
  <si>
    <t>Hueco inf</t>
  </si>
  <si>
    <t>Tornillo axial</t>
  </si>
  <si>
    <t>CH axial</t>
  </si>
  <si>
    <t>DW axial</t>
  </si>
  <si>
    <t>Cono cortante</t>
  </si>
  <si>
    <t>CH cort</t>
  </si>
  <si>
    <t>Cabeceo</t>
  </si>
  <si>
    <t>VERIFICACIÓN DE RESISTENCIA</t>
  </si>
  <si>
    <t>Cono hormigón axial</t>
  </si>
  <si>
    <t>Cono hormigón cortante</t>
  </si>
  <si>
    <t>Cabeceo cortante</t>
  </si>
  <si>
    <t>Cono metálico cortante</t>
  </si>
  <si>
    <r>
      <t xml:space="preserve">TRACCIÓN </t>
    </r>
    <r>
      <rPr>
        <b/>
        <sz val="11"/>
        <color theme="1"/>
        <rFont val="Arial"/>
        <family val="2"/>
      </rPr>
      <t>(ACI con Anc (Placa+factor) y kc = 10)</t>
    </r>
  </si>
  <si>
    <t>Carga de tracción (kN)</t>
  </si>
  <si>
    <t>Fallo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</si>
  <si>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</si>
  <si>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DW26,5</t>
  </si>
  <si>
    <t>Tornillo M36</t>
  </si>
  <si>
    <t>Cono de hormigón</t>
  </si>
  <si>
    <t>Carga a cortante (kN)</t>
  </si>
  <si>
    <t>Cono M36 T1C</t>
  </si>
  <si>
    <t>Hormigón por cabeceo</t>
  </si>
  <si>
    <t>ü</t>
  </si>
  <si>
    <r>
      <t>S</t>
    </r>
    <r>
      <rPr>
        <b/>
        <vertAlign val="subscript"/>
        <sz val="11"/>
        <color theme="1"/>
        <rFont val="Calibri"/>
        <family val="2"/>
      </rPr>
      <t>d</t>
    </r>
  </si>
  <si>
    <r>
      <t>R</t>
    </r>
    <r>
      <rPr>
        <b/>
        <vertAlign val="subscript"/>
        <sz val="11"/>
        <color theme="1"/>
        <rFont val="Calibri"/>
        <family val="2"/>
      </rPr>
      <t>k</t>
    </r>
  </si>
  <si>
    <r>
      <t>Υ</t>
    </r>
    <r>
      <rPr>
        <b/>
        <vertAlign val="subscript"/>
        <sz val="11"/>
        <color theme="1"/>
        <rFont val="Calibri"/>
        <family val="2"/>
      </rPr>
      <t>m</t>
    </r>
  </si>
  <si>
    <r>
      <t>R</t>
    </r>
    <r>
      <rPr>
        <b/>
        <vertAlign val="subscript"/>
        <sz val="11"/>
        <color theme="1"/>
        <rFont val="Calibri"/>
        <family val="2"/>
      </rPr>
      <t>d</t>
    </r>
  </si>
  <si>
    <r>
      <t>S</t>
    </r>
    <r>
      <rPr>
        <b/>
        <vertAlign val="subscript"/>
        <sz val="14"/>
        <color theme="1"/>
        <rFont val="Calibri"/>
        <family val="2"/>
        <scheme val="minor"/>
      </rPr>
      <t>k</t>
    </r>
  </si>
  <si>
    <r>
      <t>Υ</t>
    </r>
    <r>
      <rPr>
        <b/>
        <vertAlign val="subscript"/>
        <sz val="14"/>
        <color theme="1"/>
        <rFont val="Calibri"/>
        <family val="2"/>
      </rPr>
      <t>f</t>
    </r>
  </si>
  <si>
    <r>
      <t>S</t>
    </r>
    <r>
      <rPr>
        <b/>
        <vertAlign val="subscript"/>
        <sz val="14"/>
        <color theme="1"/>
        <rFont val="Calibri"/>
        <family val="2"/>
      </rPr>
      <t>d</t>
    </r>
  </si>
  <si>
    <r>
      <t>R</t>
    </r>
    <r>
      <rPr>
        <b/>
        <vertAlign val="subscript"/>
        <sz val="14"/>
        <color theme="1"/>
        <rFont val="Calibri"/>
        <family val="2"/>
      </rPr>
      <t>k</t>
    </r>
  </si>
  <si>
    <r>
      <t>Υ</t>
    </r>
    <r>
      <rPr>
        <b/>
        <vertAlign val="subscript"/>
        <sz val="14"/>
        <color theme="1"/>
        <rFont val="Calibri"/>
        <family val="2"/>
      </rPr>
      <t>m</t>
    </r>
  </si>
  <si>
    <r>
      <t>R</t>
    </r>
    <r>
      <rPr>
        <b/>
        <vertAlign val="subscript"/>
        <sz val="14"/>
        <color theme="1"/>
        <rFont val="Calibri"/>
        <family val="2"/>
      </rPr>
      <t>d</t>
    </r>
  </si>
  <si>
    <r>
      <t>S</t>
    </r>
    <r>
      <rPr>
        <b/>
        <vertAlign val="subscript"/>
        <sz val="14"/>
        <color theme="1"/>
        <rFont val="Calibri"/>
        <family val="2"/>
      </rPr>
      <t xml:space="preserve">d </t>
    </r>
    <r>
      <rPr>
        <b/>
        <sz val="14"/>
        <color theme="1"/>
        <rFont val="Calibri"/>
        <family val="2"/>
      </rPr>
      <t>≤ R</t>
    </r>
    <r>
      <rPr>
        <b/>
        <vertAlign val="subscript"/>
        <sz val="14"/>
        <color theme="1"/>
        <rFont val="Calibri"/>
        <family val="2"/>
      </rPr>
      <t>d</t>
    </r>
  </si>
  <si>
    <r>
      <t>N</t>
    </r>
    <r>
      <rPr>
        <b/>
        <vertAlign val="subscript"/>
        <sz val="12"/>
        <color theme="1"/>
        <rFont val="Calibri"/>
        <family val="2"/>
        <scheme val="minor"/>
      </rPr>
      <t>sd</t>
    </r>
  </si>
  <si>
    <r>
      <t>N</t>
    </r>
    <r>
      <rPr>
        <b/>
        <vertAlign val="subscript"/>
        <sz val="12"/>
        <color theme="1"/>
        <rFont val="Calibri"/>
        <family val="2"/>
        <scheme val="minor"/>
      </rPr>
      <t>rd</t>
    </r>
  </si>
  <si>
    <r>
      <t>V</t>
    </r>
    <r>
      <rPr>
        <b/>
        <vertAlign val="subscript"/>
        <sz val="12"/>
        <color theme="1"/>
        <rFont val="Calibri"/>
        <family val="2"/>
        <scheme val="minor"/>
      </rPr>
      <t>sd</t>
    </r>
  </si>
  <si>
    <r>
      <t>V</t>
    </r>
    <r>
      <rPr>
        <b/>
        <vertAlign val="subscript"/>
        <sz val="12"/>
        <color theme="1"/>
        <rFont val="Calibri"/>
        <family val="2"/>
        <scheme val="minor"/>
      </rPr>
      <t>rd</t>
    </r>
  </si>
  <si>
    <t>T1C</t>
  </si>
  <si>
    <t>bsup (mm)</t>
  </si>
  <si>
    <t>NO</t>
  </si>
</sst>
</file>

<file path=xl/styles.xml><?xml version="1.0" encoding="utf-8"?>
<styleSheet xmlns="http://schemas.openxmlformats.org/spreadsheetml/2006/main">
  <numFmts count="4">
    <numFmt numFmtId="164" formatCode="#,##0.0"/>
    <numFmt numFmtId="165" formatCode="0.000"/>
    <numFmt numFmtId="166" formatCode="0.0"/>
    <numFmt numFmtId="167" formatCode="0.0000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9"/>
      <color indexed="81"/>
      <name val="Calibri"/>
      <family val="2"/>
    </font>
    <font>
      <b/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12"/>
      <color rgb="FFFF0000"/>
      <name val="Calibri"/>
      <family val="2"/>
      <scheme val="minor"/>
    </font>
    <font>
      <sz val="8"/>
      <color indexed="81"/>
      <name val="Tahoma"/>
      <family val="2"/>
    </font>
    <font>
      <b/>
      <sz val="11"/>
      <name val="Calibri"/>
      <family val="2"/>
    </font>
    <font>
      <b/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vertAlign val="subscript"/>
      <sz val="14"/>
      <color theme="1"/>
      <name val="Calibri"/>
      <family val="2"/>
    </font>
    <font>
      <sz val="12"/>
      <color theme="1"/>
      <name val="Calibri"/>
      <family val="2"/>
      <scheme val="minor"/>
    </font>
    <font>
      <b/>
      <sz val="9"/>
      <color rgb="FF00B050"/>
      <name val="Wingdings"/>
      <charset val="2"/>
    </font>
    <font>
      <b/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/>
    <xf numFmtId="164" fontId="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5" fontId="11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2" fontId="0" fillId="0" borderId="0" xfId="0" applyNumberForma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164" fontId="11" fillId="0" borderId="0" xfId="0" applyNumberFormat="1" applyFont="1" applyBorder="1" applyAlignment="1">
      <alignment horizontal="center" vertical="center"/>
    </xf>
    <xf numFmtId="0" fontId="11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4" fontId="3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0" fillId="0" borderId="0" xfId="0" applyFont="1"/>
    <xf numFmtId="0" fontId="5" fillId="0" borderId="0" xfId="0" applyFont="1"/>
    <xf numFmtId="0" fontId="12" fillId="0" borderId="0" xfId="0" applyFont="1" applyAlignment="1">
      <alignment horizontal="left"/>
    </xf>
    <xf numFmtId="0" fontId="17" fillId="0" borderId="0" xfId="0" applyFont="1"/>
    <xf numFmtId="164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2" fontId="0" fillId="0" borderId="0" xfId="0" applyNumberFormat="1" applyFill="1" applyAlignment="1">
      <alignment horizontal="center"/>
    </xf>
    <xf numFmtId="166" fontId="11" fillId="0" borderId="0" xfId="0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5" fontId="11" fillId="0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4" fillId="2" borderId="0" xfId="0" applyFont="1" applyFill="1"/>
    <xf numFmtId="0" fontId="0" fillId="2" borderId="0" xfId="0" applyFill="1"/>
    <xf numFmtId="0" fontId="9" fillId="2" borderId="0" xfId="0" applyFont="1" applyFill="1" applyAlignment="1">
      <alignment horizontal="left"/>
    </xf>
    <xf numFmtId="0" fontId="7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165" fontId="11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22" fillId="0" borderId="0" xfId="0" applyFont="1"/>
    <xf numFmtId="2" fontId="23" fillId="0" borderId="0" xfId="0" applyNumberFormat="1" applyFont="1"/>
    <xf numFmtId="0" fontId="0" fillId="3" borderId="0" xfId="0" applyFill="1"/>
    <xf numFmtId="10" fontId="5" fillId="0" borderId="0" xfId="0" applyNumberFormat="1" applyFont="1" applyAlignment="1">
      <alignment horizontal="center"/>
    </xf>
    <xf numFmtId="0" fontId="11" fillId="4" borderId="0" xfId="0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166" fontId="5" fillId="4" borderId="0" xfId="0" applyNumberFormat="1" applyFont="1" applyFill="1" applyAlignment="1">
      <alignment horizontal="center"/>
    </xf>
    <xf numFmtId="0" fontId="27" fillId="0" borderId="0" xfId="0" applyFont="1"/>
    <xf numFmtId="0" fontId="31" fillId="0" borderId="0" xfId="0" applyFont="1"/>
    <xf numFmtId="0" fontId="31" fillId="0" borderId="0" xfId="0" applyFont="1" applyAlignment="1"/>
    <xf numFmtId="0" fontId="27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1" fontId="0" fillId="0" borderId="0" xfId="0" applyNumberFormat="1" applyAlignment="1">
      <alignment horizontal="center"/>
    </xf>
    <xf numFmtId="0" fontId="29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2" fontId="0" fillId="0" borderId="0" xfId="0" applyNumberFormat="1"/>
    <xf numFmtId="0" fontId="34" fillId="0" borderId="0" xfId="0" applyFont="1" applyAlignment="1"/>
    <xf numFmtId="9" fontId="0" fillId="0" borderId="0" xfId="1" applyFont="1" applyAlignment="1">
      <alignment horizontal="center"/>
    </xf>
    <xf numFmtId="164" fontId="0" fillId="2" borderId="0" xfId="0" applyNumberFormat="1" applyFill="1" applyAlignment="1">
      <alignment horizontal="center"/>
    </xf>
    <xf numFmtId="4" fontId="11" fillId="2" borderId="0" xfId="0" applyNumberFormat="1" applyFont="1" applyFill="1" applyAlignment="1">
      <alignment horizontal="center"/>
    </xf>
    <xf numFmtId="164" fontId="0" fillId="0" borderId="0" xfId="0" applyNumberFormat="1"/>
    <xf numFmtId="0" fontId="27" fillId="0" borderId="0" xfId="0" applyFont="1" applyAlignment="1">
      <alignment horizontal="center"/>
    </xf>
  </cellXfs>
  <cellStyles count="2">
    <cellStyle name="Normal" xfId="0" builtinId="0"/>
    <cellStyle name="Porcentual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smoothMarker"/>
        <c:ser>
          <c:idx val="0"/>
          <c:order val="0"/>
          <c:marker>
            <c:symbol val="circle"/>
            <c:size val="5"/>
            <c:spPr>
              <a:solidFill>
                <a:srgbClr val="002060"/>
              </a:solidFill>
            </c:spPr>
          </c:marker>
          <c:xVal>
            <c:numRef>
              <c:f>'Metodología completa '!$B$110:$B$130</c:f>
              <c:numCache>
                <c:formatCode>0.00</c:formatCode>
                <c:ptCount val="21"/>
                <c:pt idx="0">
                  <c:v>0</c:v>
                </c:pt>
                <c:pt idx="1">
                  <c:v>2.8284868039289162</c:v>
                </c:pt>
                <c:pt idx="2">
                  <c:v>5.6569736078578323</c:v>
                </c:pt>
                <c:pt idx="3">
                  <c:v>8.4854604117867467</c:v>
                </c:pt>
                <c:pt idx="4">
                  <c:v>11.313947215715665</c:v>
                </c:pt>
                <c:pt idx="5">
                  <c:v>14.142434019644579</c:v>
                </c:pt>
                <c:pt idx="6">
                  <c:v>16.970920823573493</c:v>
                </c:pt>
                <c:pt idx="7">
                  <c:v>19.799407627502408</c:v>
                </c:pt>
                <c:pt idx="8">
                  <c:v>22.627894431431329</c:v>
                </c:pt>
                <c:pt idx="9">
                  <c:v>25.456381235360244</c:v>
                </c:pt>
                <c:pt idx="10">
                  <c:v>28.284868039289158</c:v>
                </c:pt>
                <c:pt idx="11">
                  <c:v>31.113354843218076</c:v>
                </c:pt>
                <c:pt idx="12">
                  <c:v>33.941841647146987</c:v>
                </c:pt>
                <c:pt idx="13">
                  <c:v>36.770328451075905</c:v>
                </c:pt>
                <c:pt idx="14">
                  <c:v>39.598815255004816</c:v>
                </c:pt>
                <c:pt idx="15">
                  <c:v>42.427302058933734</c:v>
                </c:pt>
                <c:pt idx="16">
                  <c:v>45.255788862862659</c:v>
                </c:pt>
                <c:pt idx="17">
                  <c:v>48.084275666791569</c:v>
                </c:pt>
                <c:pt idx="18">
                  <c:v>50.912762470720487</c:v>
                </c:pt>
                <c:pt idx="19">
                  <c:v>53.741249274649398</c:v>
                </c:pt>
                <c:pt idx="20">
                  <c:v>56.569736078578316</c:v>
                </c:pt>
              </c:numCache>
            </c:numRef>
          </c:xVal>
          <c:yVal>
            <c:numRef>
              <c:f>'Metodología completa '!$C$110:$C$130</c:f>
              <c:numCache>
                <c:formatCode>0.00</c:formatCode>
                <c:ptCount val="21"/>
                <c:pt idx="0">
                  <c:v>70.307975579712419</c:v>
                </c:pt>
                <c:pt idx="1">
                  <c:v>70.021661650618071</c:v>
                </c:pt>
                <c:pt idx="2">
                  <c:v>69.396060542137846</c:v>
                </c:pt>
                <c:pt idx="3">
                  <c:v>68.50766061062761</c:v>
                </c:pt>
                <c:pt idx="4">
                  <c:v>67.38395547527054</c:v>
                </c:pt>
                <c:pt idx="5">
                  <c:v>66.038421685276347</c:v>
                </c:pt>
                <c:pt idx="6">
                  <c:v>64.477176964384753</c:v>
                </c:pt>
                <c:pt idx="7">
                  <c:v>62.701337070531018</c:v>
                </c:pt>
                <c:pt idx="8">
                  <c:v>60.707928833291092</c:v>
                </c:pt>
                <c:pt idx="9">
                  <c:v>58.49010263571099</c:v>
                </c:pt>
                <c:pt idx="10">
                  <c:v>56.036864819441732</c:v>
                </c:pt>
                <c:pt idx="11">
                  <c:v>53.332344350404149</c:v>
                </c:pt>
                <c:pt idx="12">
                  <c:v>50.35446288508551</c:v>
                </c:pt>
                <c:pt idx="13">
                  <c:v>47.07268949957588</c:v>
                </c:pt>
                <c:pt idx="14">
                  <c:v>43.44421253996348</c:v>
                </c:pt>
                <c:pt idx="15">
                  <c:v>39.407084288104222</c:v>
                </c:pt>
                <c:pt idx="16">
                  <c:v>34.866903176795965</c:v>
                </c:pt>
                <c:pt idx="17">
                  <c:v>29.667577570351924</c:v>
                </c:pt>
                <c:pt idx="18">
                  <c:v>23.5136117752802</c:v>
                </c:pt>
                <c:pt idx="19">
                  <c:v>15.677312191860416</c:v>
                </c:pt>
                <c:pt idx="2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Punto</c:v>
          </c:tx>
          <c:marker>
            <c:spPr>
              <a:solidFill>
                <a:srgbClr val="FF0000"/>
              </a:solidFill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1100"/>
                      <a:t>N</a:t>
                    </a:r>
                    <a:r>
                      <a:rPr lang="en-US" sz="900"/>
                      <a:t>Sd</a:t>
                    </a:r>
                    <a:r>
                      <a:rPr lang="en-US" sz="1100"/>
                      <a:t>,V</a:t>
                    </a:r>
                    <a:r>
                      <a:rPr lang="en-US" sz="900"/>
                      <a:t>Sd</a:t>
                    </a:r>
                    <a:endParaRPr lang="en-US" sz="1100"/>
                  </a:p>
                </c:rich>
              </c:tx>
              <c:showVal val="1"/>
              <c:showCatName val="1"/>
              <c:separator>; </c:separator>
            </c:dLbl>
            <c:numFmt formatCode="#,##0.0" sourceLinked="0"/>
            <c:txPr>
              <a:bodyPr/>
              <a:lstStyle/>
              <a:p>
                <a:pPr>
                  <a:defRPr sz="1100" b="1">
                    <a:solidFill>
                      <a:srgbClr val="FF000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endParaRPr lang="es-ES"/>
              </a:p>
            </c:txPr>
            <c:showVal val="1"/>
            <c:showCatName val="1"/>
            <c:separator>; </c:separator>
          </c:dLbls>
          <c:xVal>
            <c:numRef>
              <c:f>'Metodología completa '!$B$132</c:f>
              <c:numCache>
                <c:formatCode>0.00</c:formatCode>
                <c:ptCount val="1"/>
                <c:pt idx="0">
                  <c:v>30</c:v>
                </c:pt>
              </c:numCache>
            </c:numRef>
          </c:xVal>
          <c:yVal>
            <c:numRef>
              <c:f>'Metodología completa '!$C$132</c:f>
              <c:numCache>
                <c:formatCode>0.00</c:formatCode>
                <c:ptCount val="1"/>
                <c:pt idx="0">
                  <c:v>40</c:v>
                </c:pt>
              </c:numCache>
            </c:numRef>
          </c:yVal>
          <c:smooth val="1"/>
        </c:ser>
        <c:axId val="93591808"/>
        <c:axId val="93610368"/>
      </c:scatterChart>
      <c:valAx>
        <c:axId val="93591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es-ES" sz="11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V</a:t>
                </a:r>
                <a:r>
                  <a:rPr lang="es-ES" sz="9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Rd</a:t>
                </a:r>
                <a:r>
                  <a:rPr lang="es-ES" sz="14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 </a:t>
                </a:r>
                <a:r>
                  <a:rPr lang="es-ES" sz="11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(kN)</a:t>
                </a:r>
                <a:endParaRPr lang="es-ES">
                  <a:solidFill>
                    <a:srgbClr val="002060"/>
                  </a:solidFill>
                  <a:latin typeface="Tahoma" pitchFamily="34" charset="0"/>
                  <a:ea typeface="Tahoma" pitchFamily="34" charset="0"/>
                  <a:cs typeface="Tahoma" pitchFamily="34" charset="0"/>
                </a:endParaRPr>
              </a:p>
            </c:rich>
          </c:tx>
          <c:layout/>
        </c:title>
        <c:numFmt formatCode="0" sourceLinked="0"/>
        <c:tickLblPos val="nextTo"/>
        <c:txPr>
          <a:bodyPr/>
          <a:lstStyle/>
          <a:p>
            <a:pPr>
              <a:defRPr sz="900"/>
            </a:pPr>
            <a:endParaRPr lang="es-ES"/>
          </a:p>
        </c:txPr>
        <c:crossAx val="93610368"/>
        <c:crosses val="autoZero"/>
        <c:crossBetween val="midCat"/>
        <c:majorUnit val="10"/>
      </c:valAx>
      <c:valAx>
        <c:axId val="9361036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es-ES" sz="11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N</a:t>
                </a:r>
                <a:r>
                  <a:rPr lang="es-ES" sz="9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Rd</a:t>
                </a:r>
                <a:r>
                  <a:rPr lang="es-ES" sz="11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 </a:t>
                </a:r>
                <a:r>
                  <a:rPr lang="es-ES" sz="11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(kN)</a:t>
                </a:r>
                <a:endParaRPr lang="es-ES" sz="1100">
                  <a:solidFill>
                    <a:srgbClr val="002060"/>
                  </a:solidFill>
                  <a:latin typeface="Tahoma" pitchFamily="34" charset="0"/>
                  <a:ea typeface="Tahoma" pitchFamily="34" charset="0"/>
                  <a:cs typeface="Tahoma" pitchFamily="34" charset="0"/>
                </a:endParaRPr>
              </a:p>
            </c:rich>
          </c:tx>
          <c:layout/>
        </c:title>
        <c:numFmt formatCode="0" sourceLinked="0"/>
        <c:tickLblPos val="nextTo"/>
        <c:txPr>
          <a:bodyPr/>
          <a:lstStyle/>
          <a:p>
            <a:pPr>
              <a:defRPr sz="900"/>
            </a:pPr>
            <a:endParaRPr lang="es-ES"/>
          </a:p>
        </c:txPr>
        <c:crossAx val="93591808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smoothMarker"/>
        <c:ser>
          <c:idx val="1"/>
          <c:order val="0"/>
          <c:tx>
            <c:v>Punto</c:v>
          </c:tx>
          <c:spPr>
            <a:ln>
              <a:noFill/>
            </a:ln>
          </c:spPr>
          <c:marker>
            <c:symbol val="square"/>
            <c:size val="7"/>
            <c:spPr>
              <a:noFill/>
            </c:spPr>
          </c:marker>
          <c:dPt>
            <c:idx val="0"/>
            <c:marker>
              <c:symbol val="none"/>
            </c:marker>
          </c:dPt>
          <c:xVal>
            <c:numRef>
              <c:f>'Metodología completa '!$B$132</c:f>
              <c:numCache>
                <c:formatCode>0.00</c:formatCode>
                <c:ptCount val="1"/>
                <c:pt idx="0">
                  <c:v>30</c:v>
                </c:pt>
              </c:numCache>
            </c:numRef>
          </c:xVal>
          <c:yVal>
            <c:numRef>
              <c:f>'Metodología completa '!$C$132</c:f>
              <c:numCache>
                <c:formatCode>0.00</c:formatCode>
                <c:ptCount val="1"/>
                <c:pt idx="0">
                  <c:v>40</c:v>
                </c:pt>
              </c:numCache>
            </c:numRef>
          </c:yVal>
          <c:smooth val="1"/>
        </c:ser>
        <c:axId val="93633536"/>
        <c:axId val="94192768"/>
      </c:scatterChart>
      <c:valAx>
        <c:axId val="936335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es-ES" sz="11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V</a:t>
                </a:r>
                <a:r>
                  <a:rPr lang="es-ES" sz="9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Rd</a:t>
                </a:r>
                <a:r>
                  <a:rPr lang="es-ES" sz="11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 (kN)</a:t>
                </a:r>
                <a:endParaRPr lang="es-ES">
                  <a:solidFill>
                    <a:srgbClr val="002060"/>
                  </a:solidFill>
                  <a:latin typeface="Tahoma" pitchFamily="34" charset="0"/>
                  <a:ea typeface="Tahoma" pitchFamily="34" charset="0"/>
                  <a:cs typeface="Tahoma" pitchFamily="34" charset="0"/>
                </a:endParaRPr>
              </a:p>
            </c:rich>
          </c:tx>
          <c:layout/>
        </c:title>
        <c:numFmt formatCode="0" sourceLinked="0"/>
        <c:minorTickMark val="out"/>
        <c:tickLblPos val="nextTo"/>
        <c:txPr>
          <a:bodyPr/>
          <a:lstStyle/>
          <a:p>
            <a:pPr>
              <a:defRPr sz="900"/>
            </a:pPr>
            <a:endParaRPr lang="es-ES"/>
          </a:p>
        </c:txPr>
        <c:crossAx val="94192768"/>
        <c:crosses val="autoZero"/>
        <c:crossBetween val="midCat"/>
        <c:majorUnit val="100"/>
      </c:valAx>
      <c:valAx>
        <c:axId val="9419276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defRPr>
                </a:pPr>
                <a:r>
                  <a:rPr lang="es-ES" sz="11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N</a:t>
                </a:r>
                <a:r>
                  <a:rPr lang="es-ES" sz="90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Rd</a:t>
                </a:r>
                <a:r>
                  <a:rPr lang="es-ES" sz="1100" baseline="0">
                    <a:solidFill>
                      <a:srgbClr val="002060"/>
                    </a:solidFill>
                    <a:latin typeface="Tahoma" pitchFamily="34" charset="0"/>
                    <a:ea typeface="Tahoma" pitchFamily="34" charset="0"/>
                    <a:cs typeface="Tahoma" pitchFamily="34" charset="0"/>
                  </a:rPr>
                  <a:t> (kN)</a:t>
                </a:r>
                <a:endParaRPr lang="es-ES" sz="1100">
                  <a:solidFill>
                    <a:srgbClr val="002060"/>
                  </a:solidFill>
                  <a:latin typeface="Tahoma" pitchFamily="34" charset="0"/>
                  <a:ea typeface="Tahoma" pitchFamily="34" charset="0"/>
                  <a:cs typeface="Tahoma" pitchFamily="34" charset="0"/>
                </a:endParaRPr>
              </a:p>
            </c:rich>
          </c:tx>
          <c:layout/>
        </c:title>
        <c:numFmt formatCode="0" sourceLinked="0"/>
        <c:minorTickMark val="out"/>
        <c:tickLblPos val="nextTo"/>
        <c:txPr>
          <a:bodyPr/>
          <a:lstStyle/>
          <a:p>
            <a:pPr>
              <a:defRPr sz="900"/>
            </a:pPr>
            <a:endParaRPr lang="es-ES"/>
          </a:p>
        </c:txPr>
        <c:crossAx val="93633536"/>
        <c:crosses val="autoZero"/>
        <c:crossBetween val="midCat"/>
        <c:majorUnit val="100"/>
      </c:valAx>
      <c:spPr>
        <a:noFill/>
        <a:ln w="25400">
          <a:noFill/>
        </a:ln>
      </c:spPr>
    </c:plotArea>
    <c:plotVisOnly val="1"/>
    <c:dispBlanksAs val="gap"/>
  </c:chart>
  <c:spPr>
    <a:noFill/>
    <a:ln>
      <a:solidFill>
        <a:schemeClr val="accent1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661146</xdr:colOff>
      <xdr:row>1</xdr:row>
      <xdr:rowOff>22411</xdr:rowOff>
    </xdr:from>
    <xdr:to>
      <xdr:col>15</xdr:col>
      <xdr:colOff>235323</xdr:colOff>
      <xdr:row>18</xdr:row>
      <xdr:rowOff>99171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44824</xdr:colOff>
      <xdr:row>17</xdr:row>
      <xdr:rowOff>168088</xdr:rowOff>
    </xdr:from>
    <xdr:to>
      <xdr:col>15</xdr:col>
      <xdr:colOff>280148</xdr:colOff>
      <xdr:row>36</xdr:row>
      <xdr:rowOff>188819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2:R159"/>
  <sheetViews>
    <sheetView tabSelected="1" zoomScale="85" zoomScaleNormal="85" workbookViewId="0">
      <selection activeCell="R6" sqref="R6"/>
    </sheetView>
  </sheetViews>
  <sheetFormatPr baseColWidth="10" defaultColWidth="11.42578125" defaultRowHeight="15"/>
  <cols>
    <col min="1" max="1" width="21.7109375" customWidth="1"/>
    <col min="2" max="2" width="14" bestFit="1" customWidth="1"/>
    <col min="3" max="3" width="11.42578125" customWidth="1"/>
    <col min="6" max="6" width="10.7109375" bestFit="1" customWidth="1"/>
    <col min="7" max="7" width="12.7109375" bestFit="1" customWidth="1"/>
    <col min="8" max="9" width="8.7109375" customWidth="1"/>
    <col min="10" max="10" width="8.85546875" customWidth="1"/>
    <col min="11" max="12" width="8.7109375" bestFit="1" customWidth="1"/>
  </cols>
  <sheetData>
    <row r="2" spans="1:17" ht="26.25">
      <c r="A2" s="33" t="s">
        <v>28</v>
      </c>
    </row>
    <row r="4" spans="1:17" ht="18">
      <c r="A4" s="23" t="s">
        <v>65</v>
      </c>
    </row>
    <row r="5" spans="1:17">
      <c r="A5" s="2" t="s">
        <v>71</v>
      </c>
      <c r="B5" s="32" t="s">
        <v>102</v>
      </c>
      <c r="Q5" s="59"/>
    </row>
    <row r="6" spans="1:17" ht="6" customHeight="1">
      <c r="A6" s="6"/>
      <c r="Q6" s="59"/>
    </row>
    <row r="7" spans="1:17" ht="18">
      <c r="A7" s="23" t="s">
        <v>84</v>
      </c>
      <c r="B7" s="4"/>
      <c r="Q7" s="60"/>
    </row>
    <row r="8" spans="1:17">
      <c r="A8" s="2"/>
      <c r="B8" s="15" t="s">
        <v>85</v>
      </c>
      <c r="C8" s="15" t="s">
        <v>20</v>
      </c>
      <c r="D8" s="38"/>
      <c r="E8" s="39" t="s">
        <v>86</v>
      </c>
      <c r="Q8" s="60"/>
    </row>
    <row r="9" spans="1:17">
      <c r="A9" s="2" t="s">
        <v>66</v>
      </c>
      <c r="B9" s="13">
        <v>40</v>
      </c>
      <c r="C9" s="21">
        <v>1</v>
      </c>
      <c r="D9" s="2" t="s">
        <v>81</v>
      </c>
      <c r="E9" s="22">
        <f>B9*C9</f>
        <v>40</v>
      </c>
    </row>
    <row r="10" spans="1:17">
      <c r="A10" s="2" t="s">
        <v>67</v>
      </c>
      <c r="B10" s="13">
        <v>30</v>
      </c>
      <c r="C10" s="21">
        <v>1</v>
      </c>
      <c r="D10" s="2" t="s">
        <v>82</v>
      </c>
      <c r="E10" s="22">
        <f>B10*C10</f>
        <v>30</v>
      </c>
    </row>
    <row r="11" spans="1:17" ht="6" customHeight="1">
      <c r="A11" s="6"/>
    </row>
    <row r="12" spans="1:17" ht="18">
      <c r="A12" s="23" t="s">
        <v>64</v>
      </c>
    </row>
    <row r="13" spans="1:17">
      <c r="A13" s="2" t="s">
        <v>79</v>
      </c>
      <c r="B13" s="4" t="s">
        <v>147</v>
      </c>
      <c r="D13" s="10" t="s">
        <v>20</v>
      </c>
      <c r="E13" s="21">
        <v>1.5</v>
      </c>
    </row>
    <row r="14" spans="1:17">
      <c r="A14" s="2" t="s">
        <v>13</v>
      </c>
      <c r="B14" s="4">
        <v>10</v>
      </c>
      <c r="D14" s="2" t="s">
        <v>80</v>
      </c>
      <c r="E14" s="12">
        <f>IF(B13="T1C",171,112.5)</f>
        <v>171</v>
      </c>
    </row>
    <row r="15" spans="1:17">
      <c r="A15" s="2" t="s">
        <v>27</v>
      </c>
      <c r="B15" s="13">
        <v>400</v>
      </c>
      <c r="D15" s="2" t="s">
        <v>68</v>
      </c>
      <c r="E15" s="21">
        <v>2.25</v>
      </c>
    </row>
    <row r="16" spans="1:17">
      <c r="A16" s="2" t="s">
        <v>32</v>
      </c>
      <c r="B16" s="13">
        <v>300</v>
      </c>
      <c r="D16" s="2" t="s">
        <v>69</v>
      </c>
      <c r="E16" s="21">
        <v>2.25</v>
      </c>
    </row>
    <row r="17" spans="1:18">
      <c r="A17" s="2" t="s">
        <v>95</v>
      </c>
      <c r="B17" s="57">
        <v>1000</v>
      </c>
      <c r="D17" s="10" t="s">
        <v>70</v>
      </c>
      <c r="E17" s="36">
        <v>1.667</v>
      </c>
    </row>
    <row r="18" spans="1:18">
      <c r="A18" s="2" t="s">
        <v>94</v>
      </c>
      <c r="B18" s="56">
        <v>1000</v>
      </c>
      <c r="D18" s="10" t="s">
        <v>11</v>
      </c>
      <c r="E18" s="19">
        <v>1</v>
      </c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</row>
    <row r="19" spans="1:18">
      <c r="A19" s="2" t="s">
        <v>106</v>
      </c>
      <c r="B19" s="57">
        <v>350</v>
      </c>
      <c r="D19" s="10" t="s">
        <v>31</v>
      </c>
      <c r="E19" s="12">
        <f>IF(B13="T1C",106,100)</f>
        <v>106</v>
      </c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</row>
    <row r="20" spans="1:18">
      <c r="A20" s="2" t="s">
        <v>105</v>
      </c>
      <c r="B20" s="58">
        <v>1000</v>
      </c>
      <c r="D20" s="2" t="s">
        <v>10</v>
      </c>
      <c r="E20" s="4">
        <v>10</v>
      </c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</row>
    <row r="21" spans="1:18">
      <c r="A21" s="2" t="s">
        <v>99</v>
      </c>
      <c r="B21" s="41">
        <f>IF(COUNTIF(B17:B20,"&lt;"&amp;((E19/2)+(E13*B16)))&lt;=2,B16,IF(COUNTIF(B17:B20,"&lt;"&amp;((E19/2)+(E13*B16)))=3,((LARGE(B17:B20,2))-(E19/2))/1.5,((MAX(B17:B20))-(E19/2))/1.5))</f>
        <v>300</v>
      </c>
      <c r="D21" s="2" t="s">
        <v>39</v>
      </c>
      <c r="E21" s="12">
        <f>IF(B13="T1C",40,30)</f>
        <v>40</v>
      </c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8">
      <c r="A22" s="2" t="s">
        <v>108</v>
      </c>
      <c r="B22" s="46">
        <f>IF(B17&lt;(E13*B19),IF(B18&lt;(E13*B19),IF(B15&lt;(E13*B19),MAX(B17/E13,B18/E13,B15/E13),B19),B19),B19)</f>
        <v>350</v>
      </c>
      <c r="D22" s="2" t="s">
        <v>109</v>
      </c>
      <c r="E22" s="4" t="s">
        <v>149</v>
      </c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8">
      <c r="A23" s="2" t="s">
        <v>16</v>
      </c>
      <c r="B23" s="4" t="s">
        <v>104</v>
      </c>
      <c r="D23" s="2"/>
      <c r="E23" s="12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8" ht="6" customHeight="1">
      <c r="A24" s="6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8" ht="18">
      <c r="A25" s="23" t="s">
        <v>87</v>
      </c>
      <c r="C25" s="2" t="s">
        <v>20</v>
      </c>
      <c r="D25" s="2" t="s">
        <v>92</v>
      </c>
      <c r="E25" s="2" t="s">
        <v>91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8" ht="15.75">
      <c r="A26" s="2" t="s">
        <v>88</v>
      </c>
      <c r="B26" s="42" t="str">
        <f>IF(E9&lt;D64,"OK","NO")</f>
        <v>OK</v>
      </c>
      <c r="C26" s="40">
        <f>E9/D64</f>
        <v>0.5689254977146877</v>
      </c>
      <c r="D26" s="41">
        <f>E9</f>
        <v>40</v>
      </c>
      <c r="E26" s="5">
        <f>D64</f>
        <v>70.307975579712419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8" ht="15.75">
      <c r="A27" s="2" t="s">
        <v>89</v>
      </c>
      <c r="B27" s="43" t="str">
        <f>IF(E10&lt;D102,"OK","NO")</f>
        <v>OK</v>
      </c>
      <c r="C27" s="40">
        <f>E10/D102</f>
        <v>0.53031889627924789</v>
      </c>
      <c r="D27" s="41">
        <f>E10</f>
        <v>30</v>
      </c>
      <c r="E27" s="5">
        <f>D102</f>
        <v>56.569736078578316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8" ht="15.75">
      <c r="A28" s="2" t="s">
        <v>83</v>
      </c>
      <c r="B28" s="43" t="str">
        <f>IF(C28&lt;1,"OK","NO")</f>
        <v>OK</v>
      </c>
      <c r="C28" s="40">
        <f>D28/E28</f>
        <v>0.20379436964504286</v>
      </c>
      <c r="D28" s="41">
        <f>E9+C45*E10</f>
        <v>59.2</v>
      </c>
      <c r="E28" s="5">
        <f>B45/E15</f>
        <v>290.48888888888888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8" ht="15.75">
      <c r="A29" s="2" t="s">
        <v>90</v>
      </c>
      <c r="B29" s="43" t="str">
        <f>IF(C29&lt;1,"OK","NO")</f>
        <v>OK</v>
      </c>
      <c r="C29" s="62">
        <f>C26^E17+C27^E17</f>
        <v>0.73792946629425493</v>
      </c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8">
      <c r="A30" s="2"/>
      <c r="B30" s="4">
        <f>IF(B29="OK",1,0)</f>
        <v>1</v>
      </c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8" ht="6" customHeight="1">
      <c r="A31" s="6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</row>
    <row r="32" spans="1:18" s="24" customFormat="1" ht="18.75">
      <c r="A32" s="23" t="s">
        <v>121</v>
      </c>
      <c r="F32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/>
    </row>
    <row r="33" spans="1:17" ht="6" customHeight="1">
      <c r="A33" s="6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</row>
    <row r="34" spans="1:17" ht="15.75">
      <c r="A34" s="6" t="s">
        <v>25</v>
      </c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</row>
    <row r="35" spans="1:17" ht="15.75">
      <c r="A35" s="6" t="s">
        <v>18</v>
      </c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</row>
    <row r="36" spans="1:17" ht="6" customHeight="1">
      <c r="A36" s="6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</row>
    <row r="37" spans="1:17">
      <c r="A37" s="2" t="s">
        <v>1</v>
      </c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</row>
    <row r="38" spans="1:17">
      <c r="A38" s="2" t="s">
        <v>0</v>
      </c>
      <c r="B38" s="2" t="s">
        <v>29</v>
      </c>
      <c r="C38" s="2" t="s">
        <v>3</v>
      </c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</row>
    <row r="39" spans="1:17">
      <c r="A39" s="12">
        <f>IF(B13="T1C",705,530)</f>
        <v>705</v>
      </c>
      <c r="B39" s="12">
        <f>+B73</f>
        <v>510</v>
      </c>
      <c r="C39" s="5">
        <f>A39*B39/1000</f>
        <v>359.55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</row>
    <row r="40" spans="1:17">
      <c r="A40" s="2" t="s">
        <v>2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</row>
    <row r="41" spans="1:17">
      <c r="A41" s="2" t="s">
        <v>101</v>
      </c>
      <c r="B41" s="2" t="s">
        <v>3</v>
      </c>
      <c r="C41" s="2" t="s">
        <v>3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</row>
    <row r="42" spans="1:17">
      <c r="A42" s="12">
        <f>IF(B13="T1C",26.5,15)</f>
        <v>26.5</v>
      </c>
      <c r="B42" s="12">
        <f xml:space="preserve"> IF(B13="T1C",580,195)</f>
        <v>580</v>
      </c>
      <c r="C42" s="64">
        <f>MIN(C39,B42)</f>
        <v>359.55</v>
      </c>
      <c r="D42" s="5" t="s">
        <v>112</v>
      </c>
    </row>
    <row r="43" spans="1:17">
      <c r="A43" s="2" t="s">
        <v>83</v>
      </c>
      <c r="B43" s="12"/>
      <c r="C43" s="18"/>
      <c r="D43" s="5"/>
      <c r="E43" s="7"/>
    </row>
    <row r="44" spans="1:17">
      <c r="A44" s="2" t="s">
        <v>93</v>
      </c>
      <c r="B44" s="2" t="s">
        <v>3</v>
      </c>
      <c r="C44" s="39" t="s">
        <v>96</v>
      </c>
      <c r="D44" s="5"/>
      <c r="E44" s="7"/>
    </row>
    <row r="45" spans="1:17">
      <c r="A45" s="12" t="str">
        <f>IF(B13="T1C","M36 8.8","M24 8.8")</f>
        <v>M36 8.8</v>
      </c>
      <c r="B45" s="63">
        <f>IF(B13="T1C",653.6,282.4)</f>
        <v>653.6</v>
      </c>
      <c r="C45" s="19">
        <f>IF(B13="T1C",0.64,0.55)</f>
        <v>0.64</v>
      </c>
      <c r="D45" s="5"/>
      <c r="E45" s="7" t="s">
        <v>110</v>
      </c>
    </row>
    <row r="46" spans="1:17">
      <c r="A46" s="15"/>
      <c r="B46" s="12"/>
      <c r="C46" s="18"/>
      <c r="D46" s="5"/>
      <c r="E46" s="7"/>
    </row>
    <row r="47" spans="1:17" ht="15.75">
      <c r="A47" s="6" t="s">
        <v>59</v>
      </c>
    </row>
    <row r="48" spans="1:17" ht="6" customHeight="1">
      <c r="A48" s="6"/>
    </row>
    <row r="49" spans="1:14">
      <c r="A49" s="11" t="s">
        <v>19</v>
      </c>
      <c r="B49" s="4"/>
      <c r="C49" s="8"/>
      <c r="D49" s="4"/>
      <c r="E49" s="4"/>
    </row>
    <row r="50" spans="1:14">
      <c r="A50" s="2" t="s">
        <v>15</v>
      </c>
      <c r="B50" s="15" t="s">
        <v>97</v>
      </c>
      <c r="C50" s="15" t="s">
        <v>98</v>
      </c>
      <c r="D50" s="15" t="s">
        <v>107</v>
      </c>
      <c r="E50" s="15" t="s">
        <v>148</v>
      </c>
      <c r="F50" s="2" t="s">
        <v>4</v>
      </c>
      <c r="G50" s="2" t="s">
        <v>17</v>
      </c>
      <c r="H50" s="2" t="s">
        <v>5</v>
      </c>
      <c r="I50" s="9" t="s">
        <v>6</v>
      </c>
      <c r="J50" s="9" t="s">
        <v>7</v>
      </c>
      <c r="K50" s="9" t="s">
        <v>8</v>
      </c>
      <c r="L50" s="2" t="s">
        <v>9</v>
      </c>
      <c r="M50" s="2" t="s">
        <v>14</v>
      </c>
    </row>
    <row r="51" spans="1:14">
      <c r="A51" s="12">
        <f>MIN(B17,B18,B19,B20)</f>
        <v>350</v>
      </c>
      <c r="B51" s="3">
        <f>IF(B17&gt;=((E19/2)+(E13*B21)),(E19/2)+(E13*B21),B17)</f>
        <v>503</v>
      </c>
      <c r="C51" s="3">
        <f>IF(B18&gt;=((E19/2)+(E13*B21)),(E19/2)+(E13*B21),B18)</f>
        <v>503</v>
      </c>
      <c r="D51" s="3">
        <f>IF(B19&gt;=((E19/2)+(E13*B21)),((E19/2)+(E13*B21)),B19)</f>
        <v>350</v>
      </c>
      <c r="E51" s="3">
        <f>IF(B20&gt;=((E19/2)+(E13*B21)),((E19/2)+(E13*B21)),B20)</f>
        <v>503</v>
      </c>
      <c r="F51" s="16">
        <f>(B51+C51)*(D51+E51)</f>
        <v>858118</v>
      </c>
      <c r="G51" s="16">
        <f>9*B21^2</f>
        <v>810000</v>
      </c>
      <c r="H51" s="8">
        <f>F51/G51</f>
        <v>1.0594049382716049</v>
      </c>
      <c r="I51" s="14">
        <f>MIN(1,IF(A51&gt;=((1.5*B21)+(E19/2)),1,(0.7+0.3*(A51/((1.5*B21)+(E19/2))))))</f>
        <v>0.90874751491053674</v>
      </c>
      <c r="J51" s="14">
        <f>IF(B23="SI",1,1.25)</f>
        <v>1</v>
      </c>
      <c r="K51" s="14">
        <v>1</v>
      </c>
      <c r="L51" s="5">
        <f>E55</f>
        <v>164.31676725154981</v>
      </c>
      <c r="M51" s="64">
        <f>H51*I51*J51*K51*L51</f>
        <v>158.19294505435295</v>
      </c>
      <c r="N51" t="s">
        <v>111</v>
      </c>
    </row>
    <row r="52" spans="1:14">
      <c r="A52" s="12"/>
      <c r="B52" s="3">
        <f>IF(B17&gt;=(E13*E14),(E13*E14),B17)</f>
        <v>256.5</v>
      </c>
      <c r="C52" s="3">
        <f>IF(B18&gt;=(E13*E14),(E13*E14),B18)</f>
        <v>256.5</v>
      </c>
      <c r="D52" s="3">
        <f>IF(B19&gt;=(E13*E14),(E13*E14),B19)</f>
        <v>256.5</v>
      </c>
      <c r="E52" s="3">
        <f>IF(B20&gt;=(E13*E14),(E13*E14),B20)</f>
        <v>256.5</v>
      </c>
      <c r="F52" s="16">
        <f>(B52+C52)*(D52+E52)</f>
        <v>263169</v>
      </c>
      <c r="G52" s="16">
        <f>9*E14^2</f>
        <v>263169</v>
      </c>
      <c r="H52" s="8">
        <f>F52/G52</f>
        <v>1</v>
      </c>
      <c r="I52" s="14">
        <f>MIN(1,IF(A51&gt;=((1.5*E14)+(E19/2)),1,(0.7+0.3*(A51/((1.5*E14)+(E19/2))))))</f>
        <v>1</v>
      </c>
      <c r="J52" s="14">
        <f>IF(B23="SI",1,1.25)</f>
        <v>1</v>
      </c>
      <c r="K52" s="14">
        <v>1</v>
      </c>
      <c r="L52" s="5">
        <f>E56</f>
        <v>70.712170098222899</v>
      </c>
      <c r="M52" s="79">
        <f>H52*I52*J52*K52*L52</f>
        <v>70.712170098222899</v>
      </c>
    </row>
    <row r="53" spans="1:14">
      <c r="A53" s="11" t="s">
        <v>12</v>
      </c>
      <c r="B53" s="4"/>
      <c r="C53" s="8"/>
      <c r="D53" s="4"/>
      <c r="E53" s="4"/>
      <c r="F53" s="4"/>
      <c r="I53" s="5"/>
      <c r="J53" s="5"/>
      <c r="K53" s="7"/>
    </row>
    <row r="54" spans="1:14">
      <c r="A54" s="2" t="s">
        <v>10</v>
      </c>
      <c r="B54" s="10" t="s">
        <v>11</v>
      </c>
      <c r="C54" s="2" t="s">
        <v>13</v>
      </c>
      <c r="D54" s="2" t="s">
        <v>38</v>
      </c>
      <c r="E54" s="2" t="s">
        <v>9</v>
      </c>
    </row>
    <row r="55" spans="1:14">
      <c r="A55" s="12">
        <f>E20</f>
        <v>10</v>
      </c>
      <c r="B55" s="3">
        <f>E18</f>
        <v>1</v>
      </c>
      <c r="C55" s="12">
        <f>B14</f>
        <v>10</v>
      </c>
      <c r="D55" s="22">
        <f>B21</f>
        <v>300</v>
      </c>
      <c r="E55" s="78">
        <f>(A55*B55*(C55)^0.5*D55^1.5)/1000</f>
        <v>164.31676725154981</v>
      </c>
    </row>
    <row r="56" spans="1:14">
      <c r="A56" s="12"/>
      <c r="B56" s="3"/>
      <c r="C56" s="12"/>
      <c r="D56" s="22"/>
      <c r="E56" s="5">
        <f>(A55*B55*(C55)^0.5*E14^1.5)/1000</f>
        <v>70.712170098222899</v>
      </c>
    </row>
    <row r="58" spans="1:14" ht="15.75">
      <c r="A58" s="6" t="s">
        <v>57</v>
      </c>
    </row>
    <row r="59" spans="1:14" ht="6" customHeight="1">
      <c r="A59" s="6"/>
    </row>
    <row r="60" spans="1:14">
      <c r="A60" s="1" t="s">
        <v>23</v>
      </c>
      <c r="F60" s="1"/>
    </row>
    <row r="61" spans="1:14">
      <c r="A61" s="1" t="s">
        <v>21</v>
      </c>
      <c r="B61" s="10" t="s">
        <v>24</v>
      </c>
      <c r="C61" s="10" t="s">
        <v>30</v>
      </c>
      <c r="D61" s="10" t="s">
        <v>33</v>
      </c>
    </row>
    <row r="62" spans="1:14">
      <c r="A62" t="s">
        <v>22</v>
      </c>
      <c r="B62" s="17">
        <f>C42</f>
        <v>359.55</v>
      </c>
      <c r="C62" s="19">
        <f>E15</f>
        <v>2.25</v>
      </c>
      <c r="D62" s="17">
        <f>B62/C62</f>
        <v>159.80000000000001</v>
      </c>
    </row>
    <row r="63" spans="1:14" ht="15.75" thickBot="1">
      <c r="A63" t="s">
        <v>26</v>
      </c>
      <c r="B63" s="17">
        <f>M51</f>
        <v>158.19294505435295</v>
      </c>
      <c r="C63" s="19">
        <f>E16</f>
        <v>2.25</v>
      </c>
      <c r="D63" s="17">
        <f>B63/C63</f>
        <v>70.307975579712419</v>
      </c>
    </row>
    <row r="64" spans="1:14" ht="16.5" thickBot="1">
      <c r="B64" s="25">
        <f>MIN(B62:B63)</f>
        <v>158.19294505435295</v>
      </c>
      <c r="C64" s="20"/>
      <c r="D64" s="34">
        <f>+D63</f>
        <v>70.307975579712419</v>
      </c>
      <c r="E64" s="35" t="str">
        <f>IF(E9&lt;D64,"OK TRACCIÓN","KO!!!!")</f>
        <v>OK TRACCIÓN</v>
      </c>
    </row>
    <row r="66" spans="1:13" ht="18">
      <c r="A66" s="23" t="s">
        <v>103</v>
      </c>
    </row>
    <row r="67" spans="1:13" ht="6" customHeight="1">
      <c r="A67" s="6"/>
    </row>
    <row r="68" spans="1:13" ht="15.75">
      <c r="A68" s="6" t="s">
        <v>25</v>
      </c>
    </row>
    <row r="69" spans="1:13" ht="15.75">
      <c r="A69" s="6" t="s">
        <v>34</v>
      </c>
    </row>
    <row r="70" spans="1:13" ht="6" customHeight="1">
      <c r="A70" s="6"/>
    </row>
    <row r="71" spans="1:13">
      <c r="A71" s="2" t="s">
        <v>1</v>
      </c>
      <c r="H71" s="80"/>
    </row>
    <row r="72" spans="1:13">
      <c r="A72" s="2" t="s">
        <v>35</v>
      </c>
      <c r="B72" s="2" t="s">
        <v>36</v>
      </c>
      <c r="C72" s="2" t="s">
        <v>37</v>
      </c>
      <c r="D72" s="2"/>
      <c r="F72" s="2"/>
    </row>
    <row r="73" spans="1:13">
      <c r="A73" s="48">
        <f>IF(B13="T1C",2001,1138)</f>
        <v>2001</v>
      </c>
      <c r="B73" s="12">
        <f>IF(B13="T1C",510,510)</f>
        <v>510</v>
      </c>
      <c r="C73" s="64">
        <f>(A73*(B73/1.732))/1000</f>
        <v>589.20900692840644</v>
      </c>
      <c r="D73" s="4" t="s">
        <v>113</v>
      </c>
      <c r="F73" s="7"/>
    </row>
    <row r="74" spans="1:13" ht="15.75">
      <c r="A74" s="6"/>
    </row>
    <row r="75" spans="1:13" ht="15.75">
      <c r="A75" s="6" t="s">
        <v>60</v>
      </c>
    </row>
    <row r="76" spans="1:13" ht="6" customHeight="1">
      <c r="A76" s="6"/>
    </row>
    <row r="77" spans="1:13" ht="15.75">
      <c r="A77" s="6" t="s">
        <v>40</v>
      </c>
    </row>
    <row r="78" spans="1:13">
      <c r="A78" s="11" t="s">
        <v>41</v>
      </c>
      <c r="B78" s="4"/>
      <c r="C78" s="8"/>
      <c r="D78" s="4"/>
      <c r="E78" s="4"/>
      <c r="F78" s="4"/>
      <c r="I78" s="5"/>
      <c r="J78" s="5"/>
      <c r="K78" s="7"/>
    </row>
    <row r="79" spans="1:13">
      <c r="A79" s="2" t="s">
        <v>100</v>
      </c>
      <c r="B79" s="15" t="s">
        <v>97</v>
      </c>
      <c r="C79" s="15" t="s">
        <v>98</v>
      </c>
      <c r="D79" s="15" t="s">
        <v>107</v>
      </c>
      <c r="E79" s="2" t="s">
        <v>42</v>
      </c>
      <c r="F79" s="2" t="s">
        <v>43</v>
      </c>
      <c r="G79" s="2" t="s">
        <v>44</v>
      </c>
      <c r="H79" s="9" t="s">
        <v>45</v>
      </c>
      <c r="I79" s="9" t="s">
        <v>46</v>
      </c>
      <c r="J79" s="9" t="s">
        <v>47</v>
      </c>
      <c r="K79" s="2" t="s">
        <v>48</v>
      </c>
      <c r="L79" s="2" t="s">
        <v>49</v>
      </c>
    </row>
    <row r="80" spans="1:13">
      <c r="A80" s="12">
        <f>MIN(B17,B18)</f>
        <v>1000</v>
      </c>
      <c r="B80" s="3">
        <f>IF(B17&lt;1.5*B22,B17,1.5*B22)</f>
        <v>525</v>
      </c>
      <c r="C80" s="3">
        <f>IF(B18&lt;1.5*B22,B18,1.5*B22)</f>
        <v>525</v>
      </c>
      <c r="D80" s="3">
        <f>IF(B15&lt;1.5*B22,B15,1.5*B22)</f>
        <v>400</v>
      </c>
      <c r="E80" s="16">
        <f>(B80+C80)*D80</f>
        <v>420000</v>
      </c>
      <c r="F80" s="16">
        <f>4.5*B22^2</f>
        <v>551250</v>
      </c>
      <c r="G80" s="8">
        <f>E80/F80</f>
        <v>0.76190476190476186</v>
      </c>
      <c r="H80" s="47">
        <f>IF(A80&gt;=1.5*B22,1,0.7+0.3*A80/(1.5*B22))</f>
        <v>1</v>
      </c>
      <c r="I80" s="14">
        <f>IF(B23="SI",1,1.4)</f>
        <v>1</v>
      </c>
      <c r="J80" s="47">
        <f>IF(B15&lt;1.5*B22,MAX((1.5*B22/B15)^0.5,1),1)</f>
        <v>1.14564392373896</v>
      </c>
      <c r="K80" s="5">
        <f>E83</f>
        <v>105.06801717004316</v>
      </c>
      <c r="L80" s="64">
        <f>G80*H80*I80*J80*K80</f>
        <v>91.710884152503354</v>
      </c>
      <c r="M80" t="s">
        <v>114</v>
      </c>
    </row>
    <row r="81" spans="1:11">
      <c r="A81" s="11" t="s">
        <v>50</v>
      </c>
      <c r="B81" s="4"/>
      <c r="C81" s="8"/>
      <c r="D81" s="4"/>
      <c r="E81" s="4"/>
      <c r="F81" s="4"/>
      <c r="I81" s="5"/>
      <c r="J81" s="5"/>
      <c r="K81" s="7"/>
    </row>
    <row r="82" spans="1:11">
      <c r="A82" s="2" t="s">
        <v>39</v>
      </c>
      <c r="B82" s="10" t="s">
        <v>11</v>
      </c>
      <c r="C82" s="2" t="s">
        <v>13</v>
      </c>
      <c r="D82" s="2" t="s">
        <v>51</v>
      </c>
      <c r="E82" s="2" t="s">
        <v>48</v>
      </c>
    </row>
    <row r="83" spans="1:11">
      <c r="A83" s="26">
        <f>E21</f>
        <v>40</v>
      </c>
      <c r="B83" s="44">
        <f>E18</f>
        <v>1</v>
      </c>
      <c r="C83" s="26">
        <f>B14</f>
        <v>10</v>
      </c>
      <c r="D83" s="45">
        <f>IF(B13="T1C",171,112.5)</f>
        <v>171</v>
      </c>
      <c r="E83" s="27">
        <f>(0.6*((D83/A83)^0.2)*(A83^0.5)*B83*(C83^0.5)*(B22^1.5))/1000</f>
        <v>105.06801717004316</v>
      </c>
    </row>
    <row r="84" spans="1:11" ht="6" customHeight="1">
      <c r="A84" s="6"/>
    </row>
    <row r="85" spans="1:11" ht="15.75">
      <c r="A85" s="49" t="s">
        <v>52</v>
      </c>
      <c r="B85" s="50"/>
      <c r="D85" s="31"/>
    </row>
    <row r="86" spans="1:11">
      <c r="A86" s="51" t="s">
        <v>41</v>
      </c>
      <c r="B86" s="50"/>
    </row>
    <row r="87" spans="1:11">
      <c r="A87" s="52" t="s">
        <v>45</v>
      </c>
      <c r="B87" s="53" t="s">
        <v>49</v>
      </c>
    </row>
    <row r="88" spans="1:11" s="30" customFormat="1">
      <c r="A88" s="54">
        <v>1</v>
      </c>
      <c r="B88" s="55">
        <f>2*L80*(A88/H80)</f>
        <v>183.42176830500671</v>
      </c>
      <c r="D88" s="31"/>
    </row>
    <row r="90" spans="1:11" ht="15.75">
      <c r="A90" s="6" t="s">
        <v>61</v>
      </c>
    </row>
    <row r="91" spans="1:11" ht="6" customHeight="1">
      <c r="A91" s="6"/>
    </row>
    <row r="92" spans="1:11">
      <c r="A92" s="2" t="s">
        <v>53</v>
      </c>
      <c r="B92" s="2" t="s">
        <v>54</v>
      </c>
    </row>
    <row r="93" spans="1:11">
      <c r="A93" s="28">
        <v>1.8</v>
      </c>
      <c r="B93" s="65">
        <f>A93*M52</f>
        <v>127.28190617680121</v>
      </c>
      <c r="C93" t="s">
        <v>115</v>
      </c>
    </row>
    <row r="94" spans="1:11">
      <c r="A94" s="28"/>
      <c r="B94" s="29"/>
    </row>
    <row r="95" spans="1:11" ht="15.75">
      <c r="A95" s="6" t="s">
        <v>58</v>
      </c>
    </row>
    <row r="96" spans="1:11" ht="6" customHeight="1">
      <c r="A96" s="6"/>
    </row>
    <row r="97" spans="1:5">
      <c r="A97" s="1" t="s">
        <v>23</v>
      </c>
    </row>
    <row r="98" spans="1:5">
      <c r="A98" s="1" t="s">
        <v>21</v>
      </c>
      <c r="B98" s="10" t="s">
        <v>55</v>
      </c>
      <c r="C98" s="10" t="s">
        <v>30</v>
      </c>
      <c r="D98" s="10" t="s">
        <v>56</v>
      </c>
    </row>
    <row r="99" spans="1:5">
      <c r="A99" t="s">
        <v>22</v>
      </c>
      <c r="B99" s="17">
        <f>C73</f>
        <v>589.20900692840644</v>
      </c>
      <c r="C99" s="19">
        <f>E15</f>
        <v>2.25</v>
      </c>
      <c r="D99" s="17">
        <f>B99/C99</f>
        <v>261.87066974595842</v>
      </c>
    </row>
    <row r="100" spans="1:5">
      <c r="A100" t="s">
        <v>62</v>
      </c>
      <c r="B100" s="17">
        <f>L80</f>
        <v>91.710884152503354</v>
      </c>
      <c r="C100" s="19">
        <f>E16</f>
        <v>2.25</v>
      </c>
      <c r="D100" s="17">
        <f>B100/C100</f>
        <v>40.760392956668156</v>
      </c>
    </row>
    <row r="101" spans="1:5" ht="15.75" thickBot="1">
      <c r="A101" t="s">
        <v>63</v>
      </c>
      <c r="B101" s="5">
        <f>B93</f>
        <v>127.28190617680121</v>
      </c>
      <c r="C101" s="8">
        <f>C100</f>
        <v>2.25</v>
      </c>
      <c r="D101" s="17">
        <f>B101/C101</f>
        <v>56.569736078578316</v>
      </c>
    </row>
    <row r="102" spans="1:5" ht="16.5" thickBot="1">
      <c r="B102" s="25">
        <f>IF(E22="NO",MIN(B99,B101),MIN(B99,B100,B101))</f>
        <v>127.28190617680121</v>
      </c>
      <c r="C102" s="20"/>
      <c r="D102" s="34">
        <f>IF(E22="NO",D101,MIN(D100,D101))</f>
        <v>56.569736078578316</v>
      </c>
      <c r="E102" s="35" t="str">
        <f>IF(E10&lt;D102,"OK CORTANTE","KO!!!!")</f>
        <v>OK CORTANTE</v>
      </c>
    </row>
    <row r="104" spans="1:5" ht="15.75">
      <c r="A104" s="6" t="s">
        <v>72</v>
      </c>
    </row>
    <row r="105" spans="1:5" ht="6" customHeight="1">
      <c r="A105" s="6"/>
    </row>
    <row r="106" spans="1:5">
      <c r="A106" s="1" t="s">
        <v>73</v>
      </c>
      <c r="B106" s="19">
        <f>D64</f>
        <v>70.307975579712419</v>
      </c>
    </row>
    <row r="107" spans="1:5">
      <c r="A107" s="1" t="s">
        <v>74</v>
      </c>
      <c r="B107" s="19">
        <f>D102</f>
        <v>56.569736078578316</v>
      </c>
    </row>
    <row r="108" spans="1:5">
      <c r="A108" s="2" t="s">
        <v>75</v>
      </c>
      <c r="B108" s="37">
        <f>E17</f>
        <v>1.667</v>
      </c>
    </row>
    <row r="109" spans="1:5">
      <c r="A109" s="2" t="s">
        <v>76</v>
      </c>
      <c r="B109" s="2" t="s">
        <v>77</v>
      </c>
      <c r="C109" s="2" t="s">
        <v>78</v>
      </c>
    </row>
    <row r="110" spans="1:5">
      <c r="A110" s="8">
        <v>0</v>
      </c>
      <c r="B110" s="8">
        <f>A110*B$107</f>
        <v>0</v>
      </c>
      <c r="C110" s="8">
        <f t="shared" ref="C110:C130" si="0">(1-(A110^B$108))^(1/B$108)*B$106</f>
        <v>70.307975579712419</v>
      </c>
    </row>
    <row r="111" spans="1:5">
      <c r="A111" s="8">
        <v>0.05</v>
      </c>
      <c r="B111" s="8">
        <f t="shared" ref="B111:B130" si="1">A111*B$107</f>
        <v>2.8284868039289162</v>
      </c>
      <c r="C111" s="8">
        <f t="shared" si="0"/>
        <v>70.021661650618071</v>
      </c>
    </row>
    <row r="112" spans="1:5">
      <c r="A112" s="8">
        <v>0.1</v>
      </c>
      <c r="B112" s="8">
        <f t="shared" si="1"/>
        <v>5.6569736078578323</v>
      </c>
      <c r="C112" s="8">
        <f t="shared" si="0"/>
        <v>69.396060542137846</v>
      </c>
    </row>
    <row r="113" spans="1:3">
      <c r="A113" s="8">
        <v>0.15</v>
      </c>
      <c r="B113" s="8">
        <f t="shared" si="1"/>
        <v>8.4854604117867467</v>
      </c>
      <c r="C113" s="8">
        <f t="shared" si="0"/>
        <v>68.50766061062761</v>
      </c>
    </row>
    <row r="114" spans="1:3">
      <c r="A114" s="8">
        <v>0.2</v>
      </c>
      <c r="B114" s="8">
        <f t="shared" si="1"/>
        <v>11.313947215715665</v>
      </c>
      <c r="C114" s="8">
        <f t="shared" si="0"/>
        <v>67.38395547527054</v>
      </c>
    </row>
    <row r="115" spans="1:3">
      <c r="A115" s="8">
        <v>0.25</v>
      </c>
      <c r="B115" s="8">
        <f t="shared" si="1"/>
        <v>14.142434019644579</v>
      </c>
      <c r="C115" s="8">
        <f t="shared" si="0"/>
        <v>66.038421685276347</v>
      </c>
    </row>
    <row r="116" spans="1:3">
      <c r="A116" s="8">
        <v>0.3</v>
      </c>
      <c r="B116" s="8">
        <f t="shared" si="1"/>
        <v>16.970920823573493</v>
      </c>
      <c r="C116" s="8">
        <f t="shared" si="0"/>
        <v>64.477176964384753</v>
      </c>
    </row>
    <row r="117" spans="1:3">
      <c r="A117" s="8">
        <v>0.35</v>
      </c>
      <c r="B117" s="8">
        <f t="shared" si="1"/>
        <v>19.799407627502408</v>
      </c>
      <c r="C117" s="8">
        <f t="shared" si="0"/>
        <v>62.701337070531018</v>
      </c>
    </row>
    <row r="118" spans="1:3">
      <c r="A118" s="8">
        <v>0.4</v>
      </c>
      <c r="B118" s="8">
        <f t="shared" si="1"/>
        <v>22.627894431431329</v>
      </c>
      <c r="C118" s="8">
        <f t="shared" si="0"/>
        <v>60.707928833291092</v>
      </c>
    </row>
    <row r="119" spans="1:3">
      <c r="A119" s="8">
        <v>0.45</v>
      </c>
      <c r="B119" s="8">
        <f t="shared" si="1"/>
        <v>25.456381235360244</v>
      </c>
      <c r="C119" s="8">
        <f t="shared" si="0"/>
        <v>58.49010263571099</v>
      </c>
    </row>
    <row r="120" spans="1:3">
      <c r="A120" s="8">
        <v>0.5</v>
      </c>
      <c r="B120" s="8">
        <f t="shared" si="1"/>
        <v>28.284868039289158</v>
      </c>
      <c r="C120" s="8">
        <f t="shared" si="0"/>
        <v>56.036864819441732</v>
      </c>
    </row>
    <row r="121" spans="1:3">
      <c r="A121" s="8">
        <v>0.55000000000000004</v>
      </c>
      <c r="B121" s="8">
        <f t="shared" si="1"/>
        <v>31.113354843218076</v>
      </c>
      <c r="C121" s="8">
        <f t="shared" si="0"/>
        <v>53.332344350404149</v>
      </c>
    </row>
    <row r="122" spans="1:3">
      <c r="A122" s="8">
        <v>0.6</v>
      </c>
      <c r="B122" s="8">
        <f t="shared" si="1"/>
        <v>33.941841647146987</v>
      </c>
      <c r="C122" s="8">
        <f t="shared" si="0"/>
        <v>50.35446288508551</v>
      </c>
    </row>
    <row r="123" spans="1:3">
      <c r="A123" s="8">
        <v>0.65</v>
      </c>
      <c r="B123" s="8">
        <f t="shared" si="1"/>
        <v>36.770328451075905</v>
      </c>
      <c r="C123" s="8">
        <f t="shared" si="0"/>
        <v>47.07268949957588</v>
      </c>
    </row>
    <row r="124" spans="1:3">
      <c r="A124" s="8">
        <v>0.7</v>
      </c>
      <c r="B124" s="8">
        <f t="shared" si="1"/>
        <v>39.598815255004816</v>
      </c>
      <c r="C124" s="8">
        <f t="shared" si="0"/>
        <v>43.44421253996348</v>
      </c>
    </row>
    <row r="125" spans="1:3">
      <c r="A125" s="8">
        <v>0.75</v>
      </c>
      <c r="B125" s="8">
        <f t="shared" si="1"/>
        <v>42.427302058933734</v>
      </c>
      <c r="C125" s="8">
        <f t="shared" si="0"/>
        <v>39.407084288104222</v>
      </c>
    </row>
    <row r="126" spans="1:3">
      <c r="A126" s="8">
        <v>0.8</v>
      </c>
      <c r="B126" s="8">
        <f t="shared" si="1"/>
        <v>45.255788862862659</v>
      </c>
      <c r="C126" s="8">
        <f t="shared" si="0"/>
        <v>34.866903176795965</v>
      </c>
    </row>
    <row r="127" spans="1:3">
      <c r="A127" s="8">
        <v>0.85</v>
      </c>
      <c r="B127" s="8">
        <f t="shared" si="1"/>
        <v>48.084275666791569</v>
      </c>
      <c r="C127" s="8">
        <f t="shared" si="0"/>
        <v>29.667577570351924</v>
      </c>
    </row>
    <row r="128" spans="1:3">
      <c r="A128" s="8">
        <v>0.9</v>
      </c>
      <c r="B128" s="8">
        <f t="shared" si="1"/>
        <v>50.912762470720487</v>
      </c>
      <c r="C128" s="8">
        <f t="shared" si="0"/>
        <v>23.5136117752802</v>
      </c>
    </row>
    <row r="129" spans="1:8">
      <c r="A129" s="8">
        <v>0.95</v>
      </c>
      <c r="B129" s="8">
        <f t="shared" si="1"/>
        <v>53.741249274649398</v>
      </c>
      <c r="C129" s="8">
        <f t="shared" si="0"/>
        <v>15.677312191860416</v>
      </c>
    </row>
    <row r="130" spans="1:8">
      <c r="A130" s="8">
        <v>1</v>
      </c>
      <c r="B130" s="8">
        <f t="shared" si="1"/>
        <v>56.569736078578316</v>
      </c>
      <c r="C130" s="8">
        <f t="shared" si="0"/>
        <v>0</v>
      </c>
    </row>
    <row r="132" spans="1:8">
      <c r="B132" s="19">
        <f>E10</f>
        <v>30</v>
      </c>
      <c r="C132" s="19">
        <f>E9</f>
        <v>40</v>
      </c>
    </row>
    <row r="134" spans="1:8" ht="15.75">
      <c r="A134" s="6" t="s">
        <v>116</v>
      </c>
    </row>
    <row r="135" spans="1:8">
      <c r="A135" t="s">
        <v>110</v>
      </c>
      <c r="B135" s="77">
        <f>+(B9*1.5^2)/B45</f>
        <v>0.13769889840881272</v>
      </c>
      <c r="C135" t="s">
        <v>118</v>
      </c>
      <c r="E135" s="77">
        <f>IF(E22="NO",0,(B10*1.5^2)/L80)</f>
        <v>0</v>
      </c>
    </row>
    <row r="136" spans="1:8">
      <c r="A136" t="s">
        <v>112</v>
      </c>
      <c r="B136" s="77">
        <f>+(B9*1.5^2)/C42</f>
        <v>0.25031289111389238</v>
      </c>
      <c r="C136" t="s">
        <v>119</v>
      </c>
      <c r="E136" s="77">
        <f>+(B10*1.5^2)/B93</f>
        <v>0.53031889627924789</v>
      </c>
    </row>
    <row r="137" spans="1:8">
      <c r="A137" t="s">
        <v>117</v>
      </c>
      <c r="B137" s="77">
        <f>+(B9*1.5^2)/M51</f>
        <v>0.5689254977146877</v>
      </c>
      <c r="C137" t="s">
        <v>120</v>
      </c>
      <c r="E137" s="77">
        <f>+(B10*1.5^2)/C73</f>
        <v>0.11456036687538584</v>
      </c>
    </row>
    <row r="140" spans="1:8" ht="15.75">
      <c r="A140" s="6" t="s">
        <v>23</v>
      </c>
    </row>
    <row r="141" spans="1:8" ht="18.75">
      <c r="A141" s="81" t="s">
        <v>122</v>
      </c>
      <c r="B141" s="81"/>
      <c r="C141" s="81"/>
      <c r="D141" s="81"/>
      <c r="E141" s="81"/>
      <c r="F141" s="81"/>
      <c r="G141" s="81"/>
      <c r="H141" s="81"/>
    </row>
    <row r="142" spans="1:8" ht="20.25">
      <c r="A142" s="66" t="s">
        <v>123</v>
      </c>
      <c r="B142" s="69" t="s">
        <v>136</v>
      </c>
      <c r="C142" s="73" t="s">
        <v>137</v>
      </c>
      <c r="D142" s="73" t="s">
        <v>138</v>
      </c>
      <c r="E142" s="73" t="s">
        <v>139</v>
      </c>
      <c r="F142" s="73" t="s">
        <v>140</v>
      </c>
      <c r="G142" s="73" t="s">
        <v>141</v>
      </c>
      <c r="H142" s="73" t="s">
        <v>142</v>
      </c>
    </row>
    <row r="143" spans="1:8" ht="15.75">
      <c r="A143" s="67" t="s">
        <v>125</v>
      </c>
      <c r="B143" s="3">
        <f>+B9</f>
        <v>40</v>
      </c>
      <c r="C143" s="3">
        <v>1.5</v>
      </c>
      <c r="D143" s="3">
        <f>+Sktornillo*C143</f>
        <v>60</v>
      </c>
      <c r="E143" s="5">
        <f>+IF(B13="T1C",580,195)</f>
        <v>580</v>
      </c>
      <c r="F143" s="3">
        <v>1.9</v>
      </c>
      <c r="G143" s="3">
        <f>+IF(B13="T1C",300,91)</f>
        <v>300</v>
      </c>
      <c r="H143" s="70" t="s">
        <v>131</v>
      </c>
    </row>
    <row r="144" spans="1:8" ht="15.75">
      <c r="A144" s="67" t="s">
        <v>126</v>
      </c>
      <c r="B144" s="3">
        <f>+B9+0.64*B10</f>
        <v>59.2</v>
      </c>
      <c r="C144" s="3">
        <v>1.5</v>
      </c>
      <c r="D144" s="3">
        <f>+C144*Skconohormigón</f>
        <v>88.800000000000011</v>
      </c>
      <c r="E144" s="5">
        <f>+B45</f>
        <v>653.6</v>
      </c>
      <c r="F144" s="3">
        <v>1.5</v>
      </c>
      <c r="G144" s="72">
        <f>+Rkconohormigón/F144</f>
        <v>435.73333333333335</v>
      </c>
      <c r="H144" s="70" t="s">
        <v>131</v>
      </c>
    </row>
    <row r="145" spans="1:8" ht="15.75">
      <c r="A145" s="67" t="s">
        <v>127</v>
      </c>
      <c r="B145" s="3">
        <f>+B9</f>
        <v>40</v>
      </c>
      <c r="C145" s="3">
        <v>1.5</v>
      </c>
      <c r="D145" s="3">
        <f>+C145*B145</f>
        <v>60</v>
      </c>
      <c r="E145" s="5">
        <f>+B63</f>
        <v>158.19294505435295</v>
      </c>
      <c r="F145" s="3">
        <v>1.5</v>
      </c>
      <c r="G145" s="72">
        <f>+E145/F145</f>
        <v>105.46196336956864</v>
      </c>
      <c r="H145" s="70" t="s">
        <v>131</v>
      </c>
    </row>
    <row r="146" spans="1:8">
      <c r="B146" s="3"/>
      <c r="C146" s="3"/>
      <c r="D146" s="3"/>
      <c r="E146" s="3"/>
      <c r="F146" s="3"/>
      <c r="G146" s="3"/>
      <c r="H146" s="3"/>
    </row>
    <row r="148" spans="1:8" ht="18.75">
      <c r="A148" s="81" t="s">
        <v>128</v>
      </c>
      <c r="B148" s="81"/>
      <c r="C148" s="81"/>
      <c r="D148" s="81"/>
      <c r="E148" s="81"/>
      <c r="F148" s="81"/>
      <c r="G148" s="81"/>
      <c r="H148" s="81"/>
    </row>
    <row r="149" spans="1:8" ht="20.25">
      <c r="A149" s="66" t="s">
        <v>123</v>
      </c>
      <c r="B149" s="74" t="s">
        <v>124</v>
      </c>
      <c r="C149" s="73" t="s">
        <v>137</v>
      </c>
      <c r="D149" s="73" t="s">
        <v>132</v>
      </c>
      <c r="E149" s="73" t="s">
        <v>133</v>
      </c>
      <c r="F149" s="73" t="s">
        <v>134</v>
      </c>
      <c r="G149" s="73" t="s">
        <v>135</v>
      </c>
      <c r="H149" s="73" t="s">
        <v>142</v>
      </c>
    </row>
    <row r="150" spans="1:8" ht="15.75">
      <c r="A150" s="67" t="s">
        <v>129</v>
      </c>
      <c r="B150" s="3">
        <f>+B10</f>
        <v>30</v>
      </c>
      <c r="C150" s="3">
        <v>1.5</v>
      </c>
      <c r="D150" s="3">
        <f>+B150*C150</f>
        <v>45</v>
      </c>
      <c r="E150" s="5">
        <f>+B99</f>
        <v>589.20900692840644</v>
      </c>
      <c r="F150" s="3">
        <v>1.5</v>
      </c>
      <c r="G150" s="72">
        <f>+E150/F150</f>
        <v>392.80600461893761</v>
      </c>
      <c r="H150" s="70" t="s">
        <v>131</v>
      </c>
    </row>
    <row r="151" spans="1:8" ht="15.75">
      <c r="A151" s="67" t="s">
        <v>127</v>
      </c>
      <c r="B151" s="3">
        <f>+B10</f>
        <v>30</v>
      </c>
      <c r="C151" s="3">
        <v>1.5</v>
      </c>
      <c r="D151" s="3">
        <f>+B151*C151</f>
        <v>45</v>
      </c>
      <c r="E151" s="5">
        <f>+B100</f>
        <v>91.710884152503354</v>
      </c>
      <c r="F151" s="3">
        <v>1.5</v>
      </c>
      <c r="G151" s="72">
        <f>+E151/F151</f>
        <v>61.140589435002234</v>
      </c>
      <c r="H151" s="70" t="s">
        <v>131</v>
      </c>
    </row>
    <row r="152" spans="1:8" ht="15.75">
      <c r="A152" s="68" t="s">
        <v>130</v>
      </c>
      <c r="B152" s="3">
        <f>+B10</f>
        <v>30</v>
      </c>
      <c r="C152" s="3">
        <v>1.5</v>
      </c>
      <c r="D152" s="3">
        <f>+B152*C152</f>
        <v>45</v>
      </c>
      <c r="E152" s="5">
        <f>+B101</f>
        <v>127.28190617680121</v>
      </c>
      <c r="F152" s="3">
        <v>1.5</v>
      </c>
      <c r="G152" s="72">
        <f>+E152/F152</f>
        <v>84.854604117867481</v>
      </c>
      <c r="H152" s="70" t="s">
        <v>131</v>
      </c>
    </row>
    <row r="153" spans="1:8">
      <c r="H153" s="71"/>
    </row>
    <row r="155" spans="1:8" ht="18.75">
      <c r="A155" s="76" t="s">
        <v>143</v>
      </c>
      <c r="B155">
        <f>+D145</f>
        <v>60</v>
      </c>
    </row>
    <row r="156" spans="1:8" ht="18.75">
      <c r="A156" s="76" t="s">
        <v>144</v>
      </c>
      <c r="B156" s="75">
        <f>+G145</f>
        <v>105.46196336956864</v>
      </c>
    </row>
    <row r="157" spans="1:8" ht="18.75">
      <c r="A157" s="76" t="s">
        <v>145</v>
      </c>
      <c r="B157">
        <f>+D152</f>
        <v>45</v>
      </c>
    </row>
    <row r="158" spans="1:8" ht="18.75">
      <c r="A158" s="76" t="s">
        <v>146</v>
      </c>
      <c r="B158" s="75">
        <f>IF(E22="NO",G152,MIN(G151:G152))</f>
        <v>84.854604117867481</v>
      </c>
    </row>
    <row r="159" spans="1:8">
      <c r="A159" s="1" t="str">
        <f>IF((B159&lt;1),"OK","KO")</f>
        <v>OK</v>
      </c>
      <c r="B159">
        <f>+(B155/B156)^(5/3)+(B157/B158)^(5/3)</f>
        <v>0.73807635000769767</v>
      </c>
    </row>
  </sheetData>
  <mergeCells count="2">
    <mergeCell ref="A141:H141"/>
    <mergeCell ref="A148:H148"/>
  </mergeCells>
  <printOptions gridLines="1"/>
  <pageMargins left="1.1023622047244095" right="0" top="0.39370078740157483" bottom="0.39370078740157483" header="0" footer="0"/>
  <pageSetup paperSize="9" scale="34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9</vt:i4>
      </vt:variant>
    </vt:vector>
  </HeadingPairs>
  <TitlesOfParts>
    <vt:vector size="10" baseType="lpstr">
      <vt:lpstr>Metodología completa </vt:lpstr>
      <vt:lpstr>'Metodología completa '!RdDW</vt:lpstr>
      <vt:lpstr>'Metodología completa '!Rkconohormigón</vt:lpstr>
      <vt:lpstr>'Metodología completa '!RkDW</vt:lpstr>
      <vt:lpstr>'Metodología completa '!Rktornillo</vt:lpstr>
      <vt:lpstr>'Metodología completa '!Sdconohormigón</vt:lpstr>
      <vt:lpstr>'Metodología completa '!SdDW</vt:lpstr>
      <vt:lpstr>'Metodología completa '!Skconohormigón</vt:lpstr>
      <vt:lpstr>'Metodología completa '!SkDW</vt:lpstr>
      <vt:lpstr>'Metodología completa '!Sktornillo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</dc:creator>
  <cp:lastModifiedBy>Pablo</cp:lastModifiedBy>
  <cp:lastPrinted>2014-04-24T14:50:33Z</cp:lastPrinted>
  <dcterms:created xsi:type="dcterms:W3CDTF">2013-01-29T08:23:38Z</dcterms:created>
  <dcterms:modified xsi:type="dcterms:W3CDTF">2014-07-16T11:29:46Z</dcterms:modified>
</cp:coreProperties>
</file>